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delcochile.sharepoint.com/sites/PVCO/FILES/GCCNRA/Dirección de Ácido Sulfúrico/SIREGAD/2025/11 Noviembre/"/>
    </mc:Choice>
  </mc:AlternateContent>
  <xr:revisionPtr revIDLastSave="1686" documentId="13_ncr:1_{83900DDC-BC57-4DCE-BB17-A21F4DCAF471}" xr6:coauthVersionLast="47" xr6:coauthVersionMax="47" xr10:uidLastSave="{00A50A7F-9D8C-4ACB-95BF-BD2CDB8BE9CE}"/>
  <bookViews>
    <workbookView xWindow="-110" yWindow="-110" windowWidth="19420" windowHeight="11020" xr2:uid="{00000000-000D-0000-FFFF-FFFF00000000}"/>
  </bookViews>
  <sheets>
    <sheet name="NOVIEMBRE" sheetId="1" r:id="rId1"/>
    <sheet name="Batch" sheetId="2" r:id="rId2"/>
    <sheet name="VERIFICAR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K79" i="2" l="1" a="1"/>
  <c r="K79" i="2" s="1"/>
  <c r="I79" i="2"/>
  <c r="J79" i="2" s="1"/>
  <c r="H79" i="2"/>
  <c r="I78" i="2"/>
  <c r="K78" i="2" s="1" a="1"/>
  <c r="K78" i="2" s="1"/>
  <c r="H78" i="2"/>
  <c r="H77" i="2"/>
  <c r="H52" i="1"/>
  <c r="H29" i="1"/>
  <c r="H104" i="1" l="1"/>
  <c r="H100" i="1"/>
  <c r="H95" i="1"/>
  <c r="H94" i="1"/>
  <c r="H91" i="1"/>
  <c r="A88" i="1"/>
  <c r="A87" i="1"/>
  <c r="A86" i="1" l="1"/>
  <c r="A85" i="1"/>
  <c r="A84" i="1"/>
  <c r="H15" i="1" l="1"/>
  <c r="H14" i="1"/>
  <c r="H10" i="1" l="1"/>
  <c r="H9" i="1"/>
  <c r="H8" i="1"/>
  <c r="H7" i="1"/>
  <c r="H6" i="1"/>
  <c r="H5" i="1"/>
  <c r="H4" i="1"/>
  <c r="H57" i="1" l="1"/>
  <c r="H22" i="1" l="1"/>
  <c r="H71" i="1" l="1"/>
  <c r="J71" i="1" l="1"/>
  <c r="H78" i="1" l="1"/>
  <c r="J80" i="1" l="1"/>
  <c r="J31" i="1"/>
  <c r="H64" i="1" l="1"/>
  <c r="J64" i="1" s="1"/>
  <c r="I91" i="1" l="1"/>
  <c r="N89" i="1"/>
  <c r="H32" i="1" l="1"/>
  <c r="H3" i="1" l="1"/>
  <c r="P52" i="1" l="1"/>
  <c r="Q52" i="1"/>
  <c r="C4" i="3" l="1"/>
  <c r="H2" i="1"/>
  <c r="O52" i="1" l="1"/>
  <c r="O54" i="1" s="1"/>
  <c r="C3" i="3"/>
  <c r="J94" i="1"/>
  <c r="J15" i="1"/>
  <c r="J14" i="1" l="1"/>
  <c r="I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Italo Enrique Aravena Villalobos</author>
    <author>tc={068392B3-593D-412F-ADF9-E1793385AB56}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IAV: 
</t>
        </r>
        <r>
          <rPr>
            <sz val="9"/>
            <color indexed="81"/>
            <rFont val="Tahoma"/>
            <family val="2"/>
          </rPr>
          <t xml:space="preserve">Puede indicar el número de factura, número de guía de despacho u otro documento que identifique y respalde la transacción registrada.
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Indicar identificador o código de bodega, conforme lo ingresó en la inscripción.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Indicar el nombre exacto de la sustancia y/o mezcla, conforme lo registró en el proceso de inscripicón de la empresa.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En el caso de las mezclas, no es necesario completar esta información.</t>
        </r>
      </text>
    </comment>
    <comment ref="G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Revisar hoja de "códigos" de este archivo.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Siempre debe ser mayor que cero.</t>
        </r>
      </text>
    </comment>
    <comment ref="K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Aplica para el caso de compras y ventas. </t>
        </r>
      </text>
    </comment>
    <comment ref="L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Aplica para el caso de compras y ventas.</t>
        </r>
      </text>
    </comment>
    <comment ref="H69" authorId="1" shapeId="0" xr:uid="{068392B3-593D-412F-ADF9-E1793385AB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Ajuste manual para cuadrar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Italo Enrique Aravena Villalobos</author>
    <author>tc={5BF56811-BE30-453F-8ADE-447BD544062F}</author>
  </authors>
  <commentList>
    <comment ref="B1" authorId="0" shapeId="0" xr:uid="{61C0C8B2-41AD-4021-B35A-05C1D8974DAB}">
      <text>
        <r>
          <rPr>
            <b/>
            <sz val="9"/>
            <color indexed="81"/>
            <rFont val="Tahoma"/>
            <family val="2"/>
          </rPr>
          <t xml:space="preserve">IAV: 
</t>
        </r>
        <r>
          <rPr>
            <sz val="9"/>
            <color indexed="81"/>
            <rFont val="Tahoma"/>
            <family val="2"/>
          </rPr>
          <t xml:space="preserve">Puede indicar el número de factura, número de guía de despacho u otro documento que identifique y respalde la transacción registrada.
</t>
        </r>
      </text>
    </comment>
    <comment ref="C1" authorId="0" shapeId="0" xr:uid="{818D56E2-047B-432F-BE17-B5DA2EBAE6A3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Indicar identificador o código de bodega, conforme lo ingresó en la inscripción.</t>
        </r>
      </text>
    </comment>
    <comment ref="D1" authorId="0" shapeId="0" xr:uid="{949E8204-B4F8-4F73-ACD6-F2215D73EE54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Indicar el nombre exacto de la sustancia y/o mezcla, conforme lo registró en el proceso de inscripicón de la empresa.</t>
        </r>
      </text>
    </comment>
    <comment ref="E1" authorId="0" shapeId="0" xr:uid="{51ECFA1D-D362-40BD-9EA5-56379991AD14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En el caso de las mezclas, no es necesario completar esta información.</t>
        </r>
      </text>
    </comment>
    <comment ref="G1" authorId="0" shapeId="0" xr:uid="{CD456DAC-7DBD-4C46-87B8-AA2AA2113FD8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Revisar hoja de "códigos" de este archivo.</t>
        </r>
      </text>
    </comment>
    <comment ref="H1" authorId="0" shapeId="0" xr:uid="{D7803D28-2638-4E78-BF90-C2C5ABCB33EF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Siempre debe ser mayor que cero.</t>
        </r>
      </text>
    </comment>
    <comment ref="K1" authorId="0" shapeId="0" xr:uid="{E473BBD2-B6CF-49BA-9451-03C49D6393FE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Aplica para el caso de compras y ventas. </t>
        </r>
      </text>
    </comment>
    <comment ref="L1" authorId="0" shapeId="0" xr:uid="{10A18385-F2F5-40D0-BC08-490F611A8621}">
      <text>
        <r>
          <rPr>
            <b/>
            <sz val="9"/>
            <color indexed="81"/>
            <rFont val="Tahoma"/>
            <family val="2"/>
          </rPr>
          <t>IAV:</t>
        </r>
        <r>
          <rPr>
            <sz val="9"/>
            <color indexed="81"/>
            <rFont val="Tahoma"/>
            <family val="2"/>
          </rPr>
          <t xml:space="preserve">
Aplica para el caso de compras y ventas.</t>
        </r>
      </text>
    </comment>
    <comment ref="H29" authorId="1" shapeId="0" xr:uid="{5BF56811-BE30-453F-8ADE-447BD54406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Ajuste manual para cuadrar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<sst xmlns="http://schemas.openxmlformats.org/spreadsheetml/2006/main" count="1301" uniqueCount="140">
  <si>
    <t>dd-mm-aaaa</t>
  </si>
  <si>
    <t xml:space="preserve">Número Factura </t>
  </si>
  <si>
    <t>Id. Bodega</t>
  </si>
  <si>
    <t xml:space="preserve">SQC CAS/Nombre Mezcla </t>
  </si>
  <si>
    <t xml:space="preserve">Concentración (0,00000) </t>
  </si>
  <si>
    <t xml:space="preserve"> Ingreso/Egreso</t>
  </si>
  <si>
    <t xml:space="preserve"> Tipo de Movimiento </t>
  </si>
  <si>
    <t xml:space="preserve"> Cantidad </t>
  </si>
  <si>
    <t>Unidad Medida</t>
  </si>
  <si>
    <t>Expediente Comunicación Anticipada</t>
  </si>
  <si>
    <t xml:space="preserve"> Rut </t>
  </si>
  <si>
    <t xml:space="preserve"> Nombre </t>
  </si>
  <si>
    <t>TN</t>
  </si>
  <si>
    <t>61.704.000-K</t>
  </si>
  <si>
    <t>Corporación Nacional del Cobre de Chile (Codelco)</t>
  </si>
  <si>
    <t>I</t>
  </si>
  <si>
    <t>MPRO</t>
  </si>
  <si>
    <t>E</t>
  </si>
  <si>
    <t>ECIP</t>
  </si>
  <si>
    <t>7664-93-9</t>
  </si>
  <si>
    <t>Acido Sulfúrico (Conc: 96)</t>
  </si>
  <si>
    <t>SALVADOR</t>
  </si>
  <si>
    <t>CALETONES</t>
  </si>
  <si>
    <t>CHUQUICAMATA</t>
  </si>
  <si>
    <t>RADOMIRO TOMIC</t>
  </si>
  <si>
    <t>GABRIELA MISTRAL</t>
  </si>
  <si>
    <t xml:space="preserve">MINISTRO HALES </t>
  </si>
  <si>
    <t>VENTANA</t>
  </si>
  <si>
    <t>VENT</t>
  </si>
  <si>
    <t>77.020.457-7</t>
  </si>
  <si>
    <t>Mantoverde S.A.</t>
  </si>
  <si>
    <t>TIEB</t>
  </si>
  <si>
    <t>POTRERILLOS</t>
  </si>
  <si>
    <t xml:space="preserve">INV INICIAL </t>
  </si>
  <si>
    <t>TBA</t>
  </si>
  <si>
    <t>93.458.000-1</t>
  </si>
  <si>
    <t>CELULOSA ARAUCO Y CONSTITUCION</t>
  </si>
  <si>
    <t>96.595.400-7</t>
  </si>
  <si>
    <t>MINERA VALLE CENTRAL S.A.</t>
  </si>
  <si>
    <t>78.572.860-2</t>
  </si>
  <si>
    <t>QUIMICA DEL SUR Y CIA. LTDA.</t>
  </si>
  <si>
    <t>76.257.082-3</t>
  </si>
  <si>
    <t>Quimicos FAS Spa</t>
  </si>
  <si>
    <t>78.887.880-K</t>
  </si>
  <si>
    <t>ECOKORP LTDA.</t>
  </si>
  <si>
    <t>96.959.620-2</t>
  </si>
  <si>
    <t>REDOXI WATER S. A.</t>
  </si>
  <si>
    <t>79.559.670-4</t>
  </si>
  <si>
    <t>PROQUIEL QUIMICOS LIMITADA</t>
  </si>
  <si>
    <t>87.001.500-3</t>
  </si>
  <si>
    <t>QUIMETAL INDUSTRIAL S.A.</t>
  </si>
  <si>
    <t>78.200.830-7</t>
  </si>
  <si>
    <t>Minera Cemin Pullalli SPA</t>
  </si>
  <si>
    <t>SALPO</t>
  </si>
  <si>
    <t>TECA</t>
  </si>
  <si>
    <t>TETBA</t>
  </si>
  <si>
    <t>RT</t>
  </si>
  <si>
    <t>TIPB</t>
  </si>
  <si>
    <t>CH</t>
  </si>
  <si>
    <t>INV FINAL</t>
  </si>
  <si>
    <t>GM</t>
  </si>
  <si>
    <t>DMH</t>
  </si>
  <si>
    <t>CM</t>
  </si>
  <si>
    <t xml:space="preserve">Produccion </t>
  </si>
  <si>
    <t xml:space="preserve">Consumo </t>
  </si>
  <si>
    <t>BARQUITO</t>
  </si>
  <si>
    <t>SALBA1</t>
  </si>
  <si>
    <t>CL</t>
  </si>
  <si>
    <t>61.703.000-4</t>
  </si>
  <si>
    <t>EMPRESA NACIONAL DE MINERIA</t>
  </si>
  <si>
    <t>77.867.520-K</t>
  </si>
  <si>
    <t>COMERCIAL TRANS SUD LIMITADA</t>
  </si>
  <si>
    <t>MDEV</t>
  </si>
  <si>
    <t>78.378.860-8</t>
  </si>
  <si>
    <t>INTERACID TRADING (CHILE) S.A.</t>
  </si>
  <si>
    <t>'K.E.ECIP.MARR</t>
  </si>
  <si>
    <t>96.701.340-4</t>
  </si>
  <si>
    <t>SOC. CONTRACTUAL MINERA EL ABRA</t>
  </si>
  <si>
    <t>mov terquim  SAI</t>
  </si>
  <si>
    <t xml:space="preserve">MARZO </t>
  </si>
  <si>
    <t>BATCH</t>
  </si>
  <si>
    <t>77.844.523-9</t>
  </si>
  <si>
    <t>AMEROPA MARKETING CHILE SPA</t>
  </si>
  <si>
    <t>76.821.240-6</t>
  </si>
  <si>
    <t>GLENCORE CHILE SPA</t>
  </si>
  <si>
    <t>145525F</t>
  </si>
  <si>
    <t>77.737.403-6</t>
  </si>
  <si>
    <t>Compañía Minera Tres Valles SpA</t>
  </si>
  <si>
    <t>mov icl a divisiones</t>
  </si>
  <si>
    <t>mov tpm a divisiones</t>
  </si>
  <si>
    <t>mov terquim a divisiones</t>
  </si>
  <si>
    <t xml:space="preserve">PRODUCCION </t>
  </si>
  <si>
    <t>CONSUMO</t>
  </si>
  <si>
    <t>EDEV</t>
  </si>
  <si>
    <t>145817F</t>
  </si>
  <si>
    <t>76.255.054-7</t>
  </si>
  <si>
    <t>PLANTA RECUPERADORA DE METALES SpA.</t>
  </si>
  <si>
    <t xml:space="preserve">76.079.669-7 </t>
  </si>
  <si>
    <t>77.382.103-8</t>
  </si>
  <si>
    <t>76.107.905-0</t>
  </si>
  <si>
    <t>MOLYMETNOS S.A.</t>
  </si>
  <si>
    <t>Minera Antucoya</t>
  </si>
  <si>
    <t>IM</t>
  </si>
  <si>
    <t>ZU5K202</t>
  </si>
  <si>
    <t xml:space="preserve">HEXAGON </t>
  </si>
  <si>
    <t>146175F</t>
  </si>
  <si>
    <t>146176F</t>
  </si>
  <si>
    <t>146177F</t>
  </si>
  <si>
    <t>146178F</t>
  </si>
  <si>
    <t>146179F</t>
  </si>
  <si>
    <t>146181F</t>
  </si>
  <si>
    <t>146183F</t>
  </si>
  <si>
    <t>146185F</t>
  </si>
  <si>
    <t>146186F</t>
  </si>
  <si>
    <t>146187F</t>
  </si>
  <si>
    <t>146189F</t>
  </si>
  <si>
    <t>146190F</t>
  </si>
  <si>
    <t>146191F</t>
  </si>
  <si>
    <t>146196F</t>
  </si>
  <si>
    <t>146199F</t>
  </si>
  <si>
    <t>'K.I.MPRO.NOV</t>
  </si>
  <si>
    <t>'K.E.ECIP.NOV</t>
  </si>
  <si>
    <t>'K.E.TIEB.NOV</t>
  </si>
  <si>
    <t>"K.E.Ajuste.NOV</t>
  </si>
  <si>
    <t>'K.I.TIPB.NOV</t>
  </si>
  <si>
    <t>"K.I.Ajuste.NOV</t>
  </si>
  <si>
    <t>146188F</t>
  </si>
  <si>
    <t>146180F</t>
  </si>
  <si>
    <t>146195F</t>
  </si>
  <si>
    <t>146198F</t>
  </si>
  <si>
    <t>146197F</t>
  </si>
  <si>
    <t>76.148.338-2</t>
  </si>
  <si>
    <t>Sociedad de Procesamiento de Molibdeno Ltda.</t>
  </si>
  <si>
    <t>2420162-1006-001</t>
  </si>
  <si>
    <t>CI-035350</t>
  </si>
  <si>
    <t>2420162-1011-001</t>
  </si>
  <si>
    <t>CI-035300</t>
  </si>
  <si>
    <t>MINERA ANTUCOYA</t>
  </si>
  <si>
    <t>HEXAGON CHILE SPA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</si>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</sst>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0_-;\-* #,##0.000_-;_-* &quot;-&quot;??_-;_-@_-"/>
    <numFmt numFmtId="165" formatCode="_-* #,##0.000_-;\-* #,##0.000_-;_-* &quot;-&quot;???_-;_-@_-"/>
    <numFmt numFmtId="166" formatCode="#,##0.000"/>
    <numFmt numFmtId="167" formatCode="0.000"/>
    <numFmt numFmtId="168" formatCode="#,##0.000;[Red]#,##0.000"/>
    <numFmt numFmtId="169" formatCode="_(* #,##0.00_);_(* \(#,##0.00\);_(* &quot;-&quot;??_);_(@_)"/>
    <numFmt numFmtId="170" formatCode="_ * #,##0.000_ ;_ * \-#,##0.000_ ;_ * &quot;-&quot;?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4BA4E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" fillId="0" borderId="0"/>
  </cellStyleXfs>
  <cellXfs count="97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2" fillId="2" borderId="0" xfId="0" applyNumberFormat="1" applyFont="1" applyFill="1"/>
    <xf numFmtId="0" fontId="2" fillId="2" borderId="0" xfId="0" applyFont="1" applyFill="1"/>
    <xf numFmtId="2" fontId="2" fillId="2" borderId="0" xfId="0" applyNumberFormat="1" applyFont="1" applyFill="1"/>
    <xf numFmtId="2" fontId="0" fillId="0" borderId="0" xfId="0" applyNumberFormat="1"/>
    <xf numFmtId="49" fontId="0" fillId="0" borderId="0" xfId="0" quotePrefix="1" applyNumberFormat="1" applyAlignment="1">
      <alignment horizontal="left"/>
    </xf>
    <xf numFmtId="164" fontId="0" fillId="0" borderId="0" xfId="1" applyNumberFormat="1" applyFont="1" applyFill="1"/>
    <xf numFmtId="0" fontId="2" fillId="0" borderId="0" xfId="0" applyFont="1"/>
    <xf numFmtId="164" fontId="6" fillId="0" borderId="0" xfId="1" applyNumberFormat="1" applyFont="1" applyFill="1"/>
    <xf numFmtId="4" fontId="6" fillId="0" borderId="0" xfId="0" applyNumberFormat="1" applyFont="1"/>
    <xf numFmtId="0" fontId="6" fillId="0" borderId="0" xfId="0" applyFont="1"/>
    <xf numFmtId="49" fontId="6" fillId="0" borderId="0" xfId="0" quotePrefix="1" applyNumberFormat="1" applyFont="1" applyAlignment="1">
      <alignment horizontal="left"/>
    </xf>
    <xf numFmtId="49" fontId="6" fillId="0" borderId="0" xfId="0" applyNumberFormat="1" applyFont="1"/>
    <xf numFmtId="2" fontId="6" fillId="0" borderId="0" xfId="0" applyNumberFormat="1" applyFont="1"/>
    <xf numFmtId="167" fontId="6" fillId="0" borderId="0" xfId="0" applyNumberFormat="1" applyFont="1"/>
    <xf numFmtId="0" fontId="5" fillId="0" borderId="0" xfId="0" applyFon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5" fontId="2" fillId="0" borderId="0" xfId="0" applyNumberFormat="1" applyFont="1"/>
    <xf numFmtId="14" fontId="0" fillId="3" borderId="0" xfId="0" applyNumberFormat="1" applyFill="1"/>
    <xf numFmtId="0" fontId="6" fillId="3" borderId="0" xfId="0" applyFont="1" applyFill="1"/>
    <xf numFmtId="49" fontId="6" fillId="3" borderId="0" xfId="0" quotePrefix="1" applyNumberFormat="1" applyFont="1" applyFill="1" applyAlignment="1">
      <alignment horizontal="left"/>
    </xf>
    <xf numFmtId="49" fontId="6" fillId="3" borderId="0" xfId="0" applyNumberFormat="1" applyFont="1" applyFill="1"/>
    <xf numFmtId="2" fontId="6" fillId="3" borderId="0" xfId="0" applyNumberFormat="1" applyFont="1" applyFill="1"/>
    <xf numFmtId="0" fontId="0" fillId="3" borderId="0" xfId="0" applyFill="1"/>
    <xf numFmtId="4" fontId="6" fillId="3" borderId="0" xfId="0" applyNumberFormat="1" applyFont="1" applyFill="1"/>
    <xf numFmtId="167" fontId="6" fillId="3" borderId="0" xfId="0" applyNumberFormat="1" applyFont="1" applyFill="1"/>
    <xf numFmtId="49" fontId="0" fillId="3" borderId="0" xfId="0" applyNumberFormat="1" applyFill="1"/>
    <xf numFmtId="2" fontId="0" fillId="3" borderId="0" xfId="0" applyNumberFormat="1" applyFill="1"/>
    <xf numFmtId="4" fontId="0" fillId="3" borderId="0" xfId="0" applyNumberFormat="1" applyFill="1"/>
    <xf numFmtId="49" fontId="0" fillId="3" borderId="1" xfId="0" applyNumberFormat="1" applyFill="1" applyBorder="1"/>
    <xf numFmtId="14" fontId="0" fillId="4" borderId="0" xfId="0" applyNumberFormat="1" applyFill="1"/>
    <xf numFmtId="0" fontId="0" fillId="4" borderId="0" xfId="0" applyFill="1"/>
    <xf numFmtId="0" fontId="7" fillId="4" borderId="0" xfId="0" applyFont="1" applyFill="1"/>
    <xf numFmtId="0" fontId="6" fillId="4" borderId="0" xfId="0" applyFont="1" applyFill="1"/>
    <xf numFmtId="167" fontId="0" fillId="4" borderId="0" xfId="0" applyNumberFormat="1" applyFill="1"/>
    <xf numFmtId="167" fontId="2" fillId="5" borderId="0" xfId="0" applyNumberFormat="1" applyFont="1" applyFill="1"/>
    <xf numFmtId="167" fontId="6" fillId="4" borderId="0" xfId="0" applyNumberFormat="1" applyFont="1" applyFill="1"/>
    <xf numFmtId="167" fontId="7" fillId="5" borderId="0" xfId="0" applyNumberFormat="1" applyFont="1" applyFill="1"/>
    <xf numFmtId="4" fontId="0" fillId="4" borderId="0" xfId="0" applyNumberFormat="1" applyFill="1"/>
    <xf numFmtId="164" fontId="6" fillId="4" borderId="0" xfId="0" applyNumberFormat="1" applyFont="1" applyFill="1"/>
    <xf numFmtId="164" fontId="7" fillId="5" borderId="0" xfId="1" applyNumberFormat="1" applyFont="1" applyFill="1"/>
    <xf numFmtId="0" fontId="6" fillId="6" borderId="0" xfId="0" applyFont="1" applyFill="1"/>
    <xf numFmtId="0" fontId="7" fillId="6" borderId="0" xfId="0" applyFont="1" applyFill="1"/>
    <xf numFmtId="167" fontId="7" fillId="6" borderId="0" xfId="0" applyNumberFormat="1" applyFont="1" applyFill="1"/>
    <xf numFmtId="165" fontId="6" fillId="6" borderId="0" xfId="0" applyNumberFormat="1" applyFont="1" applyFill="1"/>
    <xf numFmtId="49" fontId="6" fillId="6" borderId="0" xfId="0" quotePrefix="1" applyNumberFormat="1" applyFont="1" applyFill="1" applyAlignment="1">
      <alignment horizontal="left"/>
    </xf>
    <xf numFmtId="49" fontId="6" fillId="6" borderId="0" xfId="0" applyNumberFormat="1" applyFont="1" applyFill="1"/>
    <xf numFmtId="2" fontId="6" fillId="6" borderId="0" xfId="0" applyNumberFormat="1" applyFont="1" applyFill="1"/>
    <xf numFmtId="164" fontId="6" fillId="6" borderId="0" xfId="1" applyNumberFormat="1" applyFont="1" applyFill="1"/>
    <xf numFmtId="4" fontId="6" fillId="6" borderId="0" xfId="0" applyNumberFormat="1" applyFont="1" applyFill="1"/>
    <xf numFmtId="166" fontId="6" fillId="6" borderId="0" xfId="0" applyNumberFormat="1" applyFont="1" applyFill="1"/>
    <xf numFmtId="0" fontId="0" fillId="6" borderId="0" xfId="0" applyFill="1"/>
    <xf numFmtId="0" fontId="2" fillId="6" borderId="0" xfId="0" applyFont="1" applyFill="1"/>
    <xf numFmtId="167" fontId="2" fillId="6" borderId="0" xfId="0" applyNumberFormat="1" applyFont="1" applyFill="1"/>
    <xf numFmtId="167" fontId="6" fillId="6" borderId="0" xfId="0" applyNumberFormat="1" applyFont="1" applyFill="1"/>
    <xf numFmtId="164" fontId="0" fillId="6" borderId="0" xfId="1" applyNumberFormat="1" applyFont="1" applyFill="1"/>
    <xf numFmtId="165" fontId="7" fillId="6" borderId="0" xfId="0" applyNumberFormat="1" applyFont="1" applyFill="1"/>
    <xf numFmtId="49" fontId="0" fillId="6" borderId="0" xfId="0" applyNumberFormat="1" applyFill="1"/>
    <xf numFmtId="2" fontId="0" fillId="6" borderId="0" xfId="0" applyNumberFormat="1" applyFill="1"/>
    <xf numFmtId="4" fontId="0" fillId="6" borderId="0" xfId="0" applyNumberFormat="1" applyFill="1"/>
    <xf numFmtId="49" fontId="0" fillId="6" borderId="1" xfId="0" applyNumberFormat="1" applyFill="1" applyBorder="1"/>
    <xf numFmtId="168" fontId="6" fillId="6" borderId="0" xfId="0" applyNumberFormat="1" applyFont="1" applyFill="1"/>
    <xf numFmtId="49" fontId="0" fillId="6" borderId="0" xfId="0" quotePrefix="1" applyNumberFormat="1" applyFill="1" applyAlignment="1">
      <alignment horizontal="left"/>
    </xf>
    <xf numFmtId="167" fontId="0" fillId="6" borderId="0" xfId="0" applyNumberFormat="1" applyFill="1"/>
    <xf numFmtId="164" fontId="7" fillId="6" borderId="0" xfId="1" applyNumberFormat="1" applyFont="1" applyFill="1"/>
    <xf numFmtId="14" fontId="0" fillId="7" borderId="0" xfId="0" applyNumberFormat="1" applyFill="1"/>
    <xf numFmtId="0" fontId="0" fillId="7" borderId="0" xfId="0" applyFill="1"/>
    <xf numFmtId="49" fontId="0" fillId="7" borderId="0" xfId="0" applyNumberFormat="1" applyFill="1"/>
    <xf numFmtId="2" fontId="0" fillId="7" borderId="0" xfId="0" applyNumberFormat="1" applyFill="1"/>
    <xf numFmtId="4" fontId="0" fillId="7" borderId="0" xfId="0" applyNumberFormat="1" applyFill="1"/>
    <xf numFmtId="49" fontId="6" fillId="7" borderId="0" xfId="0" quotePrefix="1" applyNumberFormat="1" applyFont="1" applyFill="1" applyAlignment="1">
      <alignment horizontal="left"/>
    </xf>
    <xf numFmtId="0" fontId="6" fillId="7" borderId="0" xfId="0" applyFont="1" applyFill="1"/>
    <xf numFmtId="49" fontId="6" fillId="7" borderId="0" xfId="0" applyNumberFormat="1" applyFont="1" applyFill="1"/>
    <xf numFmtId="2" fontId="6" fillId="7" borderId="0" xfId="0" applyNumberFormat="1" applyFont="1" applyFill="1"/>
    <xf numFmtId="167" fontId="6" fillId="7" borderId="0" xfId="0" applyNumberFormat="1" applyFont="1" applyFill="1"/>
    <xf numFmtId="0" fontId="7" fillId="7" borderId="0" xfId="0" applyFont="1" applyFill="1"/>
    <xf numFmtId="167" fontId="7" fillId="7" borderId="0" xfId="0" applyNumberFormat="1" applyFont="1" applyFill="1"/>
    <xf numFmtId="170" fontId="0" fillId="0" borderId="0" xfId="0" applyNumberFormat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170" fontId="0" fillId="0" borderId="9" xfId="0" applyNumberFormat="1" applyBorder="1"/>
    <xf numFmtId="170" fontId="0" fillId="0" borderId="10" xfId="0" applyNumberFormat="1" applyBorder="1"/>
    <xf numFmtId="0" fontId="0" fillId="0" borderId="11" xfId="0" applyBorder="1"/>
    <xf numFmtId="170" fontId="0" fillId="0" borderId="12" xfId="0" applyNumberFormat="1" applyBorder="1"/>
    <xf numFmtId="167" fontId="0" fillId="0" borderId="0" xfId="0" applyNumberFormat="1"/>
  </cellXfs>
  <cellStyles count="4">
    <cellStyle name="Millares" xfId="1" builtinId="3"/>
    <cellStyle name="Millares 2" xfId="2" xr:uid="{D50BB43B-C540-4B5D-B51A-5F8C8AE9DEEC}"/>
    <cellStyle name="Normal" xfId="0" builtinId="0"/>
    <cellStyle name="Normal 2" xfId="3" xr:uid="{DDA1594E-FC11-4306-A669-C37C00DC5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delcochile.sharepoint.com/sites/PVCO/FILES/GCCNRA/Direcci&#243;n%20de%20&#193;cido%20Sulf&#250;rico/SIREGAD/2025/11%20Noviembre/Siregad%20Noviembre.xlsx" TargetMode="External"/><Relationship Id="rId1" Type="http://schemas.openxmlformats.org/officeDocument/2006/relationships/externalLinkPath" Target="Siregad%20Nov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Ventas"/>
      <sheetName val="Compras"/>
      <sheetName val="Batch completo"/>
      <sheetName val="datos batch"/>
      <sheetName val="RUT clientes"/>
    </sheetNames>
    <sheetDataSet>
      <sheetData sheetId="0">
        <row r="1">
          <cell r="C1">
            <v>45991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kle Moyano Danna (Codelco-Casa Matriz)" id="{886CE587-32DE-434F-B0AF-98BF4D98414F}" userId="S::DMick001@codelco.cl::44a5705c-42b5-46d5-bcd3-c8965233c3f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9" dT="2025-12-16T15:27:40.17" personId="{886CE587-32DE-434F-B0AF-98BF4D98414F}" id="{068392B3-593D-412F-ADF9-E1793385AB56}">
    <text>Ajuste manual para cuadrar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9" dT="2025-12-16T15:27:40.17" personId="{886CE587-32DE-434F-B0AF-98BF4D98414F}" id="{5BF56811-BE30-453F-8ADE-447BD544062F}">
    <text>Ajuste manual para cuadrar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topLeftCell="D88" zoomScale="80" zoomScaleNormal="80" workbookViewId="0">
      <selection activeCell="H110" sqref="G110:H110"/>
    </sheetView>
  </sheetViews>
  <sheetFormatPr baseColWidth="10" defaultRowHeight="14.5" x14ac:dyDescent="0.35"/>
  <cols>
    <col min="1" max="1" width="12.1796875" bestFit="1" customWidth="1"/>
    <col min="2" max="2" width="15" bestFit="1" customWidth="1"/>
    <col min="3" max="3" width="16.453125" bestFit="1" customWidth="1"/>
    <col min="4" max="4" width="23.26953125" bestFit="1" customWidth="1"/>
    <col min="5" max="5" width="22.453125" bestFit="1" customWidth="1"/>
    <col min="6" max="6" width="14.26953125" bestFit="1" customWidth="1"/>
    <col min="7" max="7" width="18.81640625" bestFit="1" customWidth="1"/>
    <col min="8" max="8" width="15.54296875" customWidth="1"/>
    <col min="9" max="9" width="13.54296875" bestFit="1" customWidth="1"/>
    <col min="10" max="10" width="33.54296875" bestFit="1" customWidth="1"/>
    <col min="11" max="11" width="13.7265625" customWidth="1"/>
    <col min="12" max="12" width="44.453125" bestFit="1" customWidth="1"/>
  </cols>
  <sheetData>
    <row r="1" spans="1:12" x14ac:dyDescent="0.35">
      <c r="A1" s="1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9" t="s">
        <v>7</v>
      </c>
      <c r="I1" s="4" t="s">
        <v>8</v>
      </c>
      <c r="J1" s="4" t="s">
        <v>9</v>
      </c>
      <c r="K1" s="3" t="s">
        <v>10</v>
      </c>
      <c r="L1" s="3" t="s">
        <v>11</v>
      </c>
    </row>
    <row r="2" spans="1:12" x14ac:dyDescent="0.35">
      <c r="A2" s="1">
        <v>45991</v>
      </c>
      <c r="B2" s="7" t="s">
        <v>120</v>
      </c>
      <c r="C2" s="17" t="s">
        <v>21</v>
      </c>
      <c r="D2" s="2" t="s">
        <v>19</v>
      </c>
      <c r="E2" s="6" t="s">
        <v>20</v>
      </c>
      <c r="F2" s="6" t="s">
        <v>15</v>
      </c>
      <c r="G2" s="6" t="s">
        <v>16</v>
      </c>
      <c r="H2" s="8">
        <f>+H18</f>
        <v>0</v>
      </c>
      <c r="I2" t="s">
        <v>12</v>
      </c>
      <c r="K2" s="2" t="s">
        <v>13</v>
      </c>
      <c r="L2" s="2" t="s">
        <v>14</v>
      </c>
    </row>
    <row r="3" spans="1:12" x14ac:dyDescent="0.35">
      <c r="A3" s="1">
        <v>45991</v>
      </c>
      <c r="B3" s="7" t="s">
        <v>121</v>
      </c>
      <c r="C3" s="17" t="s">
        <v>21</v>
      </c>
      <c r="D3" s="2" t="s">
        <v>19</v>
      </c>
      <c r="E3" s="6" t="s">
        <v>20</v>
      </c>
      <c r="F3" s="6" t="s">
        <v>17</v>
      </c>
      <c r="G3" s="6" t="s">
        <v>18</v>
      </c>
      <c r="H3" s="8">
        <f>+H19</f>
        <v>0</v>
      </c>
      <c r="I3" t="s">
        <v>12</v>
      </c>
      <c r="K3" s="2" t="s">
        <v>13</v>
      </c>
      <c r="L3" s="2" t="s">
        <v>14</v>
      </c>
    </row>
    <row r="4" spans="1:12" x14ac:dyDescent="0.35">
      <c r="A4" s="1">
        <v>45991</v>
      </c>
      <c r="B4" s="7" t="s">
        <v>120</v>
      </c>
      <c r="C4" s="17" t="s">
        <v>22</v>
      </c>
      <c r="D4" s="2" t="s">
        <v>19</v>
      </c>
      <c r="E4" s="6" t="s">
        <v>20</v>
      </c>
      <c r="F4" s="6" t="s">
        <v>15</v>
      </c>
      <c r="G4" s="6" t="s">
        <v>16</v>
      </c>
      <c r="H4" s="8">
        <f>+H25</f>
        <v>66827</v>
      </c>
      <c r="I4" t="s">
        <v>12</v>
      </c>
      <c r="K4" s="2" t="s">
        <v>13</v>
      </c>
      <c r="L4" s="2" t="s">
        <v>14</v>
      </c>
    </row>
    <row r="5" spans="1:12" x14ac:dyDescent="0.35">
      <c r="A5" s="1">
        <v>45991</v>
      </c>
      <c r="B5" s="7" t="s">
        <v>121</v>
      </c>
      <c r="C5" s="17" t="s">
        <v>22</v>
      </c>
      <c r="D5" s="2" t="s">
        <v>19</v>
      </c>
      <c r="E5" s="6" t="s">
        <v>20</v>
      </c>
      <c r="F5" s="6" t="s">
        <v>17</v>
      </c>
      <c r="G5" s="6" t="s">
        <v>18</v>
      </c>
      <c r="H5" s="8">
        <f>+H26</f>
        <v>760.74</v>
      </c>
      <c r="I5" t="s">
        <v>12</v>
      </c>
      <c r="K5" s="2" t="s">
        <v>13</v>
      </c>
      <c r="L5" s="2" t="s">
        <v>14</v>
      </c>
    </row>
    <row r="6" spans="1:12" x14ac:dyDescent="0.35">
      <c r="A6" s="1">
        <v>45991</v>
      </c>
      <c r="B6" s="7" t="s">
        <v>120</v>
      </c>
      <c r="C6" s="17" t="s">
        <v>23</v>
      </c>
      <c r="D6" s="2" t="s">
        <v>19</v>
      </c>
      <c r="E6" s="6" t="s">
        <v>20</v>
      </c>
      <c r="F6" s="6" t="s">
        <v>15</v>
      </c>
      <c r="G6" s="6" t="s">
        <v>16</v>
      </c>
      <c r="H6" s="8">
        <f>+H60</f>
        <v>54631.437498079998</v>
      </c>
      <c r="I6" t="s">
        <v>12</v>
      </c>
      <c r="K6" s="2" t="s">
        <v>13</v>
      </c>
      <c r="L6" s="2" t="s">
        <v>14</v>
      </c>
    </row>
    <row r="7" spans="1:12" x14ac:dyDescent="0.35">
      <c r="A7" s="1">
        <v>45991</v>
      </c>
      <c r="B7" s="7" t="s">
        <v>121</v>
      </c>
      <c r="C7" s="17" t="s">
        <v>23</v>
      </c>
      <c r="D7" s="2" t="s">
        <v>19</v>
      </c>
      <c r="E7" s="6" t="s">
        <v>20</v>
      </c>
      <c r="F7" s="6" t="s">
        <v>17</v>
      </c>
      <c r="G7" s="6" t="s">
        <v>18</v>
      </c>
      <c r="H7" s="8">
        <f>+H62+H63</f>
        <v>19251.620015609999</v>
      </c>
      <c r="I7" t="s">
        <v>12</v>
      </c>
      <c r="K7" s="2" t="s">
        <v>13</v>
      </c>
      <c r="L7" s="2" t="s">
        <v>14</v>
      </c>
    </row>
    <row r="8" spans="1:12" x14ac:dyDescent="0.35">
      <c r="A8" s="1">
        <v>45991</v>
      </c>
      <c r="B8" s="7" t="s">
        <v>121</v>
      </c>
      <c r="C8" s="17" t="s">
        <v>24</v>
      </c>
      <c r="D8" s="2" t="s">
        <v>19</v>
      </c>
      <c r="E8" s="6" t="s">
        <v>20</v>
      </c>
      <c r="F8" s="6" t="s">
        <v>17</v>
      </c>
      <c r="G8" s="6" t="s">
        <v>18</v>
      </c>
      <c r="H8" s="8">
        <f>+H55</f>
        <v>67972.775537968759</v>
      </c>
      <c r="I8" t="s">
        <v>12</v>
      </c>
      <c r="K8" s="2" t="s">
        <v>13</v>
      </c>
      <c r="L8" s="2" t="s">
        <v>14</v>
      </c>
    </row>
    <row r="9" spans="1:12" x14ac:dyDescent="0.35">
      <c r="A9" s="1">
        <v>45991</v>
      </c>
      <c r="B9" s="7" t="s">
        <v>75</v>
      </c>
      <c r="C9" s="17" t="s">
        <v>25</v>
      </c>
      <c r="D9" s="2" t="s">
        <v>19</v>
      </c>
      <c r="E9" s="6" t="s">
        <v>20</v>
      </c>
      <c r="F9" s="6" t="s">
        <v>17</v>
      </c>
      <c r="G9" s="6" t="s">
        <v>18</v>
      </c>
      <c r="H9" s="8">
        <f>+H67</f>
        <v>77809.51941609956</v>
      </c>
      <c r="I9" t="s">
        <v>12</v>
      </c>
      <c r="K9" s="2" t="s">
        <v>13</v>
      </c>
      <c r="L9" s="2" t="s">
        <v>14</v>
      </c>
    </row>
    <row r="10" spans="1:12" x14ac:dyDescent="0.35">
      <c r="A10" s="1">
        <v>45991</v>
      </c>
      <c r="B10" s="7" t="s">
        <v>120</v>
      </c>
      <c r="C10" s="17" t="s">
        <v>26</v>
      </c>
      <c r="D10" s="2" t="s">
        <v>19</v>
      </c>
      <c r="E10" s="6" t="s">
        <v>20</v>
      </c>
      <c r="F10" s="6" t="s">
        <v>15</v>
      </c>
      <c r="G10" s="6" t="s">
        <v>16</v>
      </c>
      <c r="H10" s="8">
        <f>+H74</f>
        <v>15462.660440600894</v>
      </c>
      <c r="I10" t="s">
        <v>12</v>
      </c>
      <c r="K10" s="2" t="s">
        <v>13</v>
      </c>
      <c r="L10" s="2" t="s">
        <v>14</v>
      </c>
    </row>
    <row r="11" spans="1:12" x14ac:dyDescent="0.35">
      <c r="A11" s="1">
        <v>45991</v>
      </c>
      <c r="B11" s="7" t="s">
        <v>120</v>
      </c>
      <c r="C11" s="17" t="s">
        <v>27</v>
      </c>
      <c r="D11" s="2" t="s">
        <v>19</v>
      </c>
      <c r="E11" s="6" t="s">
        <v>20</v>
      </c>
      <c r="F11" s="6" t="s">
        <v>15</v>
      </c>
      <c r="G11" s="6" t="s">
        <v>16</v>
      </c>
      <c r="H11" s="8">
        <v>0</v>
      </c>
      <c r="I11" t="s">
        <v>12</v>
      </c>
      <c r="K11" s="2" t="s">
        <v>13</v>
      </c>
      <c r="L11" s="2" t="s">
        <v>14</v>
      </c>
    </row>
    <row r="12" spans="1:12" x14ac:dyDescent="0.35">
      <c r="A12" s="1">
        <v>45991</v>
      </c>
    </row>
    <row r="13" spans="1:12" x14ac:dyDescent="0.35">
      <c r="A13" s="1">
        <v>45991</v>
      </c>
    </row>
    <row r="14" spans="1:12" x14ac:dyDescent="0.35">
      <c r="A14" s="1">
        <v>45991</v>
      </c>
      <c r="G14" s="6" t="s">
        <v>91</v>
      </c>
      <c r="H14" s="18">
        <f>+H2+H4+H6+H10</f>
        <v>136921.09793868088</v>
      </c>
      <c r="I14" s="19">
        <v>204583</v>
      </c>
      <c r="J14" s="19">
        <f>+H14-I14</f>
        <v>-67661.902061319124</v>
      </c>
    </row>
    <row r="15" spans="1:12" x14ac:dyDescent="0.35">
      <c r="A15" s="1">
        <v>45991</v>
      </c>
      <c r="G15" s="6" t="s">
        <v>92</v>
      </c>
      <c r="H15" s="18">
        <f>+H3+H5+H7+H8+H9</f>
        <v>165794.65496967832</v>
      </c>
      <c r="I15">
        <v>631.495</v>
      </c>
      <c r="J15" s="18">
        <f>+H15+I15</f>
        <v>166426.14996967831</v>
      </c>
    </row>
    <row r="16" spans="1:12" x14ac:dyDescent="0.35">
      <c r="A16" s="1">
        <v>45991</v>
      </c>
    </row>
    <row r="17" spans="1:12" s="37" customFormat="1" x14ac:dyDescent="0.35">
      <c r="A17" s="1">
        <v>45991</v>
      </c>
      <c r="B17" s="45"/>
      <c r="C17" s="46" t="s">
        <v>32</v>
      </c>
      <c r="D17" s="45"/>
      <c r="E17" s="45"/>
      <c r="F17" s="45"/>
      <c r="G17" s="46" t="s">
        <v>33</v>
      </c>
      <c r="H17" s="41">
        <v>3666.1000021972591</v>
      </c>
      <c r="I17" s="45"/>
      <c r="J17" s="45"/>
      <c r="K17" s="45"/>
      <c r="L17" s="45"/>
    </row>
    <row r="18" spans="1:12" s="37" customFormat="1" x14ac:dyDescent="0.35">
      <c r="A18" s="1">
        <v>45991</v>
      </c>
      <c r="B18" s="49" t="s">
        <v>120</v>
      </c>
      <c r="C18" s="45" t="s">
        <v>53</v>
      </c>
      <c r="D18" s="50" t="s">
        <v>19</v>
      </c>
      <c r="E18" s="51" t="s">
        <v>20</v>
      </c>
      <c r="F18" s="51" t="s">
        <v>15</v>
      </c>
      <c r="G18" s="51" t="s">
        <v>16</v>
      </c>
      <c r="H18" s="52">
        <v>0</v>
      </c>
      <c r="I18" s="45" t="s">
        <v>12</v>
      </c>
      <c r="J18" s="45"/>
      <c r="K18" s="50" t="s">
        <v>13</v>
      </c>
      <c r="L18" s="50" t="s">
        <v>14</v>
      </c>
    </row>
    <row r="19" spans="1:12" s="37" customFormat="1" x14ac:dyDescent="0.35">
      <c r="A19" s="1">
        <v>45991</v>
      </c>
      <c r="B19" s="49" t="s">
        <v>121</v>
      </c>
      <c r="C19" s="45" t="s">
        <v>53</v>
      </c>
      <c r="D19" s="50" t="s">
        <v>19</v>
      </c>
      <c r="E19" s="51" t="s">
        <v>20</v>
      </c>
      <c r="F19" s="51" t="s">
        <v>17</v>
      </c>
      <c r="G19" s="51" t="s">
        <v>18</v>
      </c>
      <c r="H19" s="52">
        <v>0</v>
      </c>
      <c r="I19" s="45" t="s">
        <v>12</v>
      </c>
      <c r="J19" s="45"/>
      <c r="K19" s="50" t="s">
        <v>13</v>
      </c>
      <c r="L19" s="50" t="s">
        <v>14</v>
      </c>
    </row>
    <row r="20" spans="1:12" s="37" customFormat="1" x14ac:dyDescent="0.35">
      <c r="A20" s="1">
        <v>45991</v>
      </c>
      <c r="B20" s="50" t="s">
        <v>85</v>
      </c>
      <c r="C20" s="45" t="s">
        <v>53</v>
      </c>
      <c r="D20" s="50" t="s">
        <v>19</v>
      </c>
      <c r="E20" s="51" t="s">
        <v>20</v>
      </c>
      <c r="F20" s="45" t="s">
        <v>17</v>
      </c>
      <c r="G20" s="45" t="s">
        <v>28</v>
      </c>
      <c r="H20" s="52">
        <v>0</v>
      </c>
      <c r="I20" s="45" t="s">
        <v>12</v>
      </c>
      <c r="J20" s="45"/>
      <c r="K20" s="45" t="s">
        <v>29</v>
      </c>
      <c r="L20" s="50" t="s">
        <v>30</v>
      </c>
    </row>
    <row r="21" spans="1:12" s="37" customFormat="1" x14ac:dyDescent="0.35">
      <c r="A21" s="1">
        <v>45991</v>
      </c>
      <c r="B21" s="49" t="s">
        <v>122</v>
      </c>
      <c r="C21" s="45" t="s">
        <v>53</v>
      </c>
      <c r="D21" s="50" t="s">
        <v>19</v>
      </c>
      <c r="E21" s="51" t="s">
        <v>20</v>
      </c>
      <c r="F21" s="45" t="s">
        <v>17</v>
      </c>
      <c r="G21" s="45" t="s">
        <v>31</v>
      </c>
      <c r="H21" s="52">
        <v>0</v>
      </c>
      <c r="I21" s="45" t="s">
        <v>12</v>
      </c>
      <c r="J21" s="45"/>
      <c r="K21" s="50" t="s">
        <v>13</v>
      </c>
      <c r="L21" s="50" t="s">
        <v>14</v>
      </c>
    </row>
    <row r="22" spans="1:12" s="35" customFormat="1" x14ac:dyDescent="0.35">
      <c r="A22" s="1">
        <v>45991</v>
      </c>
      <c r="B22" s="55"/>
      <c r="C22" s="55"/>
      <c r="D22" s="55"/>
      <c r="E22" s="55"/>
      <c r="F22" s="55"/>
      <c r="G22" s="56" t="s">
        <v>59</v>
      </c>
      <c r="H22" s="39">
        <f>+H17+H18-H19-H20-H21</f>
        <v>3666.1000021972591</v>
      </c>
      <c r="I22" s="55"/>
      <c r="J22" s="55"/>
      <c r="K22" s="55"/>
      <c r="L22" s="55"/>
    </row>
    <row r="23" spans="1:12" s="35" customFormat="1" x14ac:dyDescent="0.35">
      <c r="A23" s="1">
        <v>45991</v>
      </c>
    </row>
    <row r="24" spans="1:12" s="45" customFormat="1" x14ac:dyDescent="0.35">
      <c r="A24" s="1">
        <v>45991</v>
      </c>
      <c r="C24" s="46" t="s">
        <v>22</v>
      </c>
      <c r="G24" s="46" t="s">
        <v>33</v>
      </c>
      <c r="H24" s="41">
        <v>8265.1399999999812</v>
      </c>
      <c r="J24" s="48"/>
    </row>
    <row r="25" spans="1:12" s="45" customFormat="1" x14ac:dyDescent="0.35">
      <c r="A25" s="1">
        <v>45991</v>
      </c>
      <c r="B25" s="49" t="s">
        <v>120</v>
      </c>
      <c r="C25" s="45" t="s">
        <v>54</v>
      </c>
      <c r="D25" s="50" t="s">
        <v>19</v>
      </c>
      <c r="E25" s="51" t="s">
        <v>20</v>
      </c>
      <c r="F25" s="51" t="s">
        <v>15</v>
      </c>
      <c r="G25" s="51" t="s">
        <v>16</v>
      </c>
      <c r="H25" s="52">
        <v>66827</v>
      </c>
      <c r="I25" s="45" t="s">
        <v>12</v>
      </c>
      <c r="K25" s="50" t="s">
        <v>13</v>
      </c>
      <c r="L25" s="50" t="s">
        <v>14</v>
      </c>
    </row>
    <row r="26" spans="1:12" s="45" customFormat="1" x14ac:dyDescent="0.35">
      <c r="A26" s="1">
        <v>45991</v>
      </c>
      <c r="B26" s="49" t="s">
        <v>121</v>
      </c>
      <c r="C26" s="45" t="s">
        <v>54</v>
      </c>
      <c r="D26" s="50" t="s">
        <v>19</v>
      </c>
      <c r="E26" s="51" t="s">
        <v>20</v>
      </c>
      <c r="F26" s="51" t="s">
        <v>17</v>
      </c>
      <c r="G26" s="51" t="s">
        <v>18</v>
      </c>
      <c r="H26" s="53">
        <v>760.74</v>
      </c>
      <c r="I26" s="45" t="s">
        <v>12</v>
      </c>
      <c r="J26" s="53"/>
      <c r="K26" s="50" t="s">
        <v>13</v>
      </c>
      <c r="L26" s="50" t="s">
        <v>14</v>
      </c>
    </row>
    <row r="27" spans="1:12" s="45" customFormat="1" x14ac:dyDescent="0.35">
      <c r="A27" s="1">
        <v>45991</v>
      </c>
      <c r="B27" s="49" t="s">
        <v>122</v>
      </c>
      <c r="C27" s="45" t="s">
        <v>54</v>
      </c>
      <c r="D27" s="50" t="s">
        <v>19</v>
      </c>
      <c r="E27" s="51" t="s">
        <v>20</v>
      </c>
      <c r="F27" s="45" t="s">
        <v>17</v>
      </c>
      <c r="G27" s="45" t="s">
        <v>31</v>
      </c>
      <c r="H27" s="52">
        <v>61018.16</v>
      </c>
      <c r="I27" s="45" t="s">
        <v>12</v>
      </c>
      <c r="K27" s="50" t="s">
        <v>13</v>
      </c>
      <c r="L27" s="50" t="s">
        <v>14</v>
      </c>
    </row>
    <row r="28" spans="1:12" s="45" customFormat="1" x14ac:dyDescent="0.35">
      <c r="A28" s="1">
        <v>45991</v>
      </c>
      <c r="B28" s="49" t="s">
        <v>123</v>
      </c>
      <c r="C28" s="45" t="s">
        <v>54</v>
      </c>
      <c r="D28" s="50" t="s">
        <v>19</v>
      </c>
      <c r="E28" s="51" t="s">
        <v>20</v>
      </c>
      <c r="F28" s="51" t="s">
        <v>17</v>
      </c>
      <c r="G28" s="51" t="s">
        <v>93</v>
      </c>
      <c r="H28" s="54">
        <v>554.24</v>
      </c>
      <c r="I28" s="45" t="s">
        <v>12</v>
      </c>
      <c r="K28" s="50" t="s">
        <v>13</v>
      </c>
      <c r="L28" s="50" t="s">
        <v>14</v>
      </c>
    </row>
    <row r="29" spans="1:12" s="55" customFormat="1" x14ac:dyDescent="0.35">
      <c r="A29" s="1">
        <v>45991</v>
      </c>
      <c r="G29" s="56" t="s">
        <v>59</v>
      </c>
      <c r="H29" s="57">
        <f>+H24+H25-H26-H27-H28</f>
        <v>12758.999999999976</v>
      </c>
    </row>
    <row r="30" spans="1:12" x14ac:dyDescent="0.35">
      <c r="A30" s="1">
        <v>45991</v>
      </c>
    </row>
    <row r="31" spans="1:12" s="37" customFormat="1" x14ac:dyDescent="0.35">
      <c r="A31" s="1">
        <v>45991</v>
      </c>
      <c r="B31" s="45"/>
      <c r="C31" s="46" t="s">
        <v>34</v>
      </c>
      <c r="D31" s="45"/>
      <c r="E31" s="45"/>
      <c r="F31" s="45"/>
      <c r="G31" s="46" t="s">
        <v>33</v>
      </c>
      <c r="H31" s="41">
        <v>7394.0630000000137</v>
      </c>
      <c r="I31" s="45">
        <v>14430.567999999999</v>
      </c>
      <c r="J31" s="65">
        <f>+I31-H31</f>
        <v>7036.5049999999856</v>
      </c>
      <c r="K31" s="45"/>
      <c r="L31" s="45"/>
    </row>
    <row r="32" spans="1:12" s="37" customFormat="1" x14ac:dyDescent="0.35">
      <c r="A32" s="1">
        <v>45991</v>
      </c>
      <c r="B32" s="49" t="s">
        <v>124</v>
      </c>
      <c r="C32" s="45" t="s">
        <v>55</v>
      </c>
      <c r="D32" s="50" t="s">
        <v>19</v>
      </c>
      <c r="E32" s="51" t="s">
        <v>20</v>
      </c>
      <c r="F32" s="51" t="s">
        <v>15</v>
      </c>
      <c r="G32" s="45" t="s">
        <v>57</v>
      </c>
      <c r="H32" s="58">
        <f>+H27</f>
        <v>61018.16</v>
      </c>
      <c r="I32" s="45" t="s">
        <v>12</v>
      </c>
      <c r="J32" s="45"/>
      <c r="K32" s="50" t="s">
        <v>13</v>
      </c>
      <c r="L32" s="50" t="s">
        <v>14</v>
      </c>
    </row>
    <row r="33" spans="1:12" s="37" customFormat="1" x14ac:dyDescent="0.35">
      <c r="A33" s="1">
        <v>45991</v>
      </c>
      <c r="B33" s="49" t="s">
        <v>122</v>
      </c>
      <c r="C33" s="45" t="s">
        <v>55</v>
      </c>
      <c r="D33" s="50" t="s">
        <v>19</v>
      </c>
      <c r="E33" s="51" t="s">
        <v>20</v>
      </c>
      <c r="F33" s="45" t="s">
        <v>17</v>
      </c>
      <c r="G33" s="45" t="s">
        <v>31</v>
      </c>
      <c r="H33" s="58">
        <v>55091.05</v>
      </c>
      <c r="I33" s="45" t="s">
        <v>12</v>
      </c>
      <c r="J33" s="45"/>
      <c r="K33" s="50" t="s">
        <v>13</v>
      </c>
      <c r="L33" s="50" t="s">
        <v>14</v>
      </c>
    </row>
    <row r="34" spans="1:12" s="37" customFormat="1" x14ac:dyDescent="0.35">
      <c r="A34" s="1">
        <v>45991</v>
      </c>
      <c r="B34" s="49" t="s">
        <v>122</v>
      </c>
      <c r="C34" s="45" t="s">
        <v>55</v>
      </c>
      <c r="D34" s="50" t="s">
        <v>19</v>
      </c>
      <c r="E34" s="51" t="s">
        <v>20</v>
      </c>
      <c r="F34" s="45" t="s">
        <v>17</v>
      </c>
      <c r="G34" s="45" t="s">
        <v>31</v>
      </c>
      <c r="H34" s="58">
        <v>84.29</v>
      </c>
      <c r="I34" s="45" t="s">
        <v>12</v>
      </c>
      <c r="J34" s="45"/>
      <c r="K34" s="50" t="s">
        <v>13</v>
      </c>
      <c r="L34" s="50" t="s">
        <v>14</v>
      </c>
    </row>
    <row r="35" spans="1:12" s="37" customFormat="1" x14ac:dyDescent="0.35">
      <c r="A35" s="1">
        <v>45991</v>
      </c>
      <c r="B35" s="49" t="s">
        <v>122</v>
      </c>
      <c r="C35" s="45" t="s">
        <v>55</v>
      </c>
      <c r="D35" s="50" t="s">
        <v>19</v>
      </c>
      <c r="E35" s="51" t="s">
        <v>20</v>
      </c>
      <c r="F35" s="45" t="s">
        <v>17</v>
      </c>
      <c r="G35" s="45" t="s">
        <v>31</v>
      </c>
      <c r="H35" s="58">
        <v>1361.51</v>
      </c>
      <c r="I35" s="45" t="s">
        <v>12</v>
      </c>
      <c r="J35" s="45"/>
      <c r="K35" s="50" t="s">
        <v>13</v>
      </c>
      <c r="L35" s="50" t="s">
        <v>14</v>
      </c>
    </row>
    <row r="36" spans="1:12" s="37" customFormat="1" x14ac:dyDescent="0.35">
      <c r="A36" s="1">
        <v>45991</v>
      </c>
      <c r="B36" s="49" t="s">
        <v>125</v>
      </c>
      <c r="C36" s="45" t="s">
        <v>55</v>
      </c>
      <c r="D36" s="50" t="s">
        <v>19</v>
      </c>
      <c r="E36" s="51" t="s">
        <v>20</v>
      </c>
      <c r="F36" s="51" t="s">
        <v>15</v>
      </c>
      <c r="G36" s="51" t="s">
        <v>72</v>
      </c>
      <c r="H36" s="58">
        <v>485.84300000000098</v>
      </c>
      <c r="I36" s="45" t="s">
        <v>12</v>
      </c>
      <c r="J36" s="45"/>
      <c r="K36" s="50" t="s">
        <v>13</v>
      </c>
      <c r="L36" s="50" t="s">
        <v>14</v>
      </c>
    </row>
    <row r="37" spans="1:12" s="35" customFormat="1" x14ac:dyDescent="0.35">
      <c r="A37" s="1">
        <v>45991</v>
      </c>
      <c r="B37" s="55" t="s">
        <v>105</v>
      </c>
      <c r="C37" s="45" t="s">
        <v>55</v>
      </c>
      <c r="D37" s="61" t="s">
        <v>19</v>
      </c>
      <c r="E37" s="62" t="s">
        <v>20</v>
      </c>
      <c r="F37" s="55" t="s">
        <v>17</v>
      </c>
      <c r="G37" s="55" t="s">
        <v>28</v>
      </c>
      <c r="H37" s="53">
        <v>272.05</v>
      </c>
      <c r="I37" s="55" t="s">
        <v>12</v>
      </c>
      <c r="J37" s="55"/>
      <c r="K37" s="55" t="s">
        <v>35</v>
      </c>
      <c r="L37" s="61" t="s">
        <v>36</v>
      </c>
    </row>
    <row r="38" spans="1:12" s="35" customFormat="1" x14ac:dyDescent="0.35">
      <c r="A38" s="1">
        <v>45991</v>
      </c>
      <c r="B38" s="55" t="s">
        <v>106</v>
      </c>
      <c r="C38" s="45" t="s">
        <v>55</v>
      </c>
      <c r="D38" s="61" t="s">
        <v>19</v>
      </c>
      <c r="E38" s="62" t="s">
        <v>20</v>
      </c>
      <c r="F38" s="55" t="s">
        <v>17</v>
      </c>
      <c r="G38" s="55" t="s">
        <v>28</v>
      </c>
      <c r="H38" s="53">
        <v>634.59</v>
      </c>
      <c r="I38" s="55" t="s">
        <v>12</v>
      </c>
      <c r="J38" s="55"/>
      <c r="K38" s="55" t="s">
        <v>35</v>
      </c>
      <c r="L38" s="61" t="s">
        <v>36</v>
      </c>
    </row>
    <row r="39" spans="1:12" s="35" customFormat="1" x14ac:dyDescent="0.35">
      <c r="A39" s="1">
        <v>45991</v>
      </c>
      <c r="B39" s="55" t="s">
        <v>107</v>
      </c>
      <c r="C39" s="45" t="s">
        <v>55</v>
      </c>
      <c r="D39" s="61" t="s">
        <v>19</v>
      </c>
      <c r="E39" s="62" t="s">
        <v>20</v>
      </c>
      <c r="F39" s="55" t="s">
        <v>17</v>
      </c>
      <c r="G39" s="55" t="s">
        <v>28</v>
      </c>
      <c r="H39" s="53">
        <v>1059.73</v>
      </c>
      <c r="I39" s="55" t="s">
        <v>12</v>
      </c>
      <c r="J39" s="55"/>
      <c r="K39" s="55" t="s">
        <v>35</v>
      </c>
      <c r="L39" s="61" t="s">
        <v>36</v>
      </c>
    </row>
    <row r="40" spans="1:12" s="35" customFormat="1" x14ac:dyDescent="0.35">
      <c r="A40" s="1">
        <v>45991</v>
      </c>
      <c r="B40" s="55" t="s">
        <v>108</v>
      </c>
      <c r="C40" s="45" t="s">
        <v>55</v>
      </c>
      <c r="D40" s="61" t="s">
        <v>19</v>
      </c>
      <c r="E40" s="62" t="s">
        <v>20</v>
      </c>
      <c r="F40" s="55" t="s">
        <v>17</v>
      </c>
      <c r="G40" s="55" t="s">
        <v>28</v>
      </c>
      <c r="H40" s="53">
        <v>85.54</v>
      </c>
      <c r="I40" s="55" t="s">
        <v>12</v>
      </c>
      <c r="J40" s="55"/>
      <c r="K40" s="55" t="s">
        <v>37</v>
      </c>
      <c r="L40" s="61" t="s">
        <v>38</v>
      </c>
    </row>
    <row r="41" spans="1:12" s="35" customFormat="1" x14ac:dyDescent="0.35">
      <c r="A41" s="1">
        <v>45991</v>
      </c>
      <c r="B41" s="55" t="s">
        <v>109</v>
      </c>
      <c r="C41" s="45" t="s">
        <v>55</v>
      </c>
      <c r="D41" s="61" t="s">
        <v>19</v>
      </c>
      <c r="E41" s="62" t="s">
        <v>20</v>
      </c>
      <c r="F41" s="55" t="s">
        <v>17</v>
      </c>
      <c r="G41" s="55" t="s">
        <v>28</v>
      </c>
      <c r="H41" s="53">
        <v>1946.8</v>
      </c>
      <c r="I41" s="55" t="s">
        <v>12</v>
      </c>
      <c r="J41" s="55"/>
      <c r="K41" s="55" t="s">
        <v>39</v>
      </c>
      <c r="L41" s="61" t="s">
        <v>40</v>
      </c>
    </row>
    <row r="42" spans="1:12" s="35" customFormat="1" x14ac:dyDescent="0.35">
      <c r="A42" s="1">
        <v>45991</v>
      </c>
      <c r="B42" s="55" t="s">
        <v>110</v>
      </c>
      <c r="C42" s="45" t="s">
        <v>55</v>
      </c>
      <c r="D42" s="61" t="s">
        <v>19</v>
      </c>
      <c r="E42" s="62" t="s">
        <v>20</v>
      </c>
      <c r="F42" s="55" t="s">
        <v>17</v>
      </c>
      <c r="G42" s="55" t="s">
        <v>28</v>
      </c>
      <c r="H42" s="63">
        <v>595.42999999999995</v>
      </c>
      <c r="I42" s="55" t="s">
        <v>12</v>
      </c>
      <c r="J42" s="55"/>
      <c r="K42" s="55" t="s">
        <v>41</v>
      </c>
      <c r="L42" s="61" t="s">
        <v>42</v>
      </c>
    </row>
    <row r="43" spans="1:12" s="35" customFormat="1" x14ac:dyDescent="0.35">
      <c r="A43" s="1">
        <v>45991</v>
      </c>
      <c r="B43" s="55" t="s">
        <v>111</v>
      </c>
      <c r="C43" s="45" t="s">
        <v>55</v>
      </c>
      <c r="D43" s="61" t="s">
        <v>19</v>
      </c>
      <c r="E43" s="62" t="s">
        <v>20</v>
      </c>
      <c r="F43" s="55" t="s">
        <v>17</v>
      </c>
      <c r="G43" s="55" t="s">
        <v>28</v>
      </c>
      <c r="H43" s="53">
        <v>216.73</v>
      </c>
      <c r="I43" s="55" t="s">
        <v>12</v>
      </c>
      <c r="J43" s="55"/>
      <c r="K43" s="55" t="s">
        <v>43</v>
      </c>
      <c r="L43" s="61" t="s">
        <v>44</v>
      </c>
    </row>
    <row r="44" spans="1:12" s="35" customFormat="1" x14ac:dyDescent="0.35">
      <c r="A44" s="1">
        <v>45991</v>
      </c>
      <c r="B44" s="55" t="s">
        <v>112</v>
      </c>
      <c r="C44" s="45" t="s">
        <v>55</v>
      </c>
      <c r="D44" s="61" t="s">
        <v>19</v>
      </c>
      <c r="E44" s="62" t="s">
        <v>20</v>
      </c>
      <c r="F44" s="55" t="s">
        <v>17</v>
      </c>
      <c r="G44" s="55" t="s">
        <v>28</v>
      </c>
      <c r="H44" s="53">
        <v>27.47</v>
      </c>
      <c r="I44" s="55" t="s">
        <v>12</v>
      </c>
      <c r="J44" s="55"/>
      <c r="K44" s="55" t="s">
        <v>99</v>
      </c>
      <c r="L44" s="61" t="s">
        <v>100</v>
      </c>
    </row>
    <row r="45" spans="1:12" s="35" customFormat="1" x14ac:dyDescent="0.35">
      <c r="A45" s="1">
        <v>45991</v>
      </c>
      <c r="B45" s="55" t="s">
        <v>113</v>
      </c>
      <c r="C45" s="45" t="s">
        <v>55</v>
      </c>
      <c r="D45" s="61" t="s">
        <v>19</v>
      </c>
      <c r="E45" s="62" t="s">
        <v>20</v>
      </c>
      <c r="F45" s="55" t="s">
        <v>17</v>
      </c>
      <c r="G45" s="55" t="s">
        <v>28</v>
      </c>
      <c r="H45" s="53">
        <v>188.99</v>
      </c>
      <c r="I45" s="55" t="s">
        <v>12</v>
      </c>
      <c r="J45" s="55"/>
      <c r="K45" s="55" t="s">
        <v>45</v>
      </c>
      <c r="L45" s="61" t="s">
        <v>46</v>
      </c>
    </row>
    <row r="46" spans="1:12" s="35" customFormat="1" x14ac:dyDescent="0.35">
      <c r="A46" s="1">
        <v>45991</v>
      </c>
      <c r="B46" s="55" t="s">
        <v>114</v>
      </c>
      <c r="C46" s="45" t="s">
        <v>55</v>
      </c>
      <c r="D46" s="61" t="s">
        <v>19</v>
      </c>
      <c r="E46" s="62" t="s">
        <v>20</v>
      </c>
      <c r="F46" s="55" t="s">
        <v>17</v>
      </c>
      <c r="G46" s="55" t="s">
        <v>28</v>
      </c>
      <c r="H46" s="53">
        <v>55.93</v>
      </c>
      <c r="I46" s="55" t="s">
        <v>12</v>
      </c>
      <c r="J46" s="55"/>
      <c r="K46" s="55" t="s">
        <v>47</v>
      </c>
      <c r="L46" s="61" t="s">
        <v>48</v>
      </c>
    </row>
    <row r="47" spans="1:12" s="35" customFormat="1" x14ac:dyDescent="0.35">
      <c r="A47" s="1">
        <v>45991</v>
      </c>
      <c r="B47" s="55" t="s">
        <v>115</v>
      </c>
      <c r="C47" s="45" t="s">
        <v>55</v>
      </c>
      <c r="D47" s="61" t="s">
        <v>19</v>
      </c>
      <c r="E47" s="62" t="s">
        <v>20</v>
      </c>
      <c r="F47" s="55" t="s">
        <v>17</v>
      </c>
      <c r="G47" s="55" t="s">
        <v>28</v>
      </c>
      <c r="H47" s="53">
        <v>164.2</v>
      </c>
      <c r="I47" s="55" t="s">
        <v>12</v>
      </c>
      <c r="J47" s="55"/>
      <c r="K47" s="55" t="s">
        <v>49</v>
      </c>
      <c r="L47" s="61" t="s">
        <v>50</v>
      </c>
    </row>
    <row r="48" spans="1:12" s="35" customFormat="1" x14ac:dyDescent="0.35">
      <c r="A48" s="1">
        <v>45991</v>
      </c>
      <c r="B48" s="55" t="s">
        <v>116</v>
      </c>
      <c r="C48" s="45" t="s">
        <v>55</v>
      </c>
      <c r="D48" s="61" t="s">
        <v>19</v>
      </c>
      <c r="E48" s="62" t="s">
        <v>20</v>
      </c>
      <c r="F48" s="55" t="s">
        <v>17</v>
      </c>
      <c r="G48" s="55" t="s">
        <v>28</v>
      </c>
      <c r="H48" s="53">
        <v>3083.29</v>
      </c>
      <c r="I48" s="55" t="s">
        <v>12</v>
      </c>
      <c r="J48" s="55"/>
      <c r="K48" s="64" t="s">
        <v>51</v>
      </c>
      <c r="L48" s="61" t="s">
        <v>52</v>
      </c>
    </row>
    <row r="49" spans="1:17" s="35" customFormat="1" x14ac:dyDescent="0.35">
      <c r="A49" s="1">
        <v>45991</v>
      </c>
      <c r="B49" s="61" t="s">
        <v>117</v>
      </c>
      <c r="C49" s="45" t="s">
        <v>55</v>
      </c>
      <c r="D49" s="61" t="s">
        <v>19</v>
      </c>
      <c r="E49" s="62" t="s">
        <v>20</v>
      </c>
      <c r="F49" s="55" t="s">
        <v>17</v>
      </c>
      <c r="G49" s="55" t="s">
        <v>28</v>
      </c>
      <c r="H49" s="63">
        <v>472.76</v>
      </c>
      <c r="I49" s="55" t="s">
        <v>12</v>
      </c>
      <c r="J49" s="55"/>
      <c r="K49" s="55" t="s">
        <v>86</v>
      </c>
      <c r="L49" s="61" t="s">
        <v>87</v>
      </c>
    </row>
    <row r="50" spans="1:17" s="35" customFormat="1" x14ac:dyDescent="0.35">
      <c r="A50" s="1">
        <v>45991</v>
      </c>
      <c r="B50" s="61" t="s">
        <v>94</v>
      </c>
      <c r="C50" s="45" t="s">
        <v>55</v>
      </c>
      <c r="D50" s="61" t="s">
        <v>19</v>
      </c>
      <c r="E50" s="62" t="s">
        <v>20</v>
      </c>
      <c r="F50" s="55" t="s">
        <v>17</v>
      </c>
      <c r="G50" s="55" t="s">
        <v>28</v>
      </c>
      <c r="H50" s="53"/>
      <c r="I50" s="55" t="s">
        <v>12</v>
      </c>
      <c r="J50" s="55"/>
      <c r="K50" s="64" t="s">
        <v>86</v>
      </c>
      <c r="L50" s="61" t="s">
        <v>87</v>
      </c>
    </row>
    <row r="51" spans="1:17" s="37" customFormat="1" x14ac:dyDescent="0.35">
      <c r="A51" s="1">
        <v>45991</v>
      </c>
      <c r="B51" s="49" t="s">
        <v>123</v>
      </c>
      <c r="C51" s="45" t="s">
        <v>55</v>
      </c>
      <c r="D51" s="50" t="s">
        <v>19</v>
      </c>
      <c r="E51" s="51" t="s">
        <v>20</v>
      </c>
      <c r="F51" s="51" t="s">
        <v>17</v>
      </c>
      <c r="G51" s="51" t="s">
        <v>93</v>
      </c>
      <c r="H51" s="58"/>
      <c r="I51" s="45" t="s">
        <v>12</v>
      </c>
      <c r="J51" s="45"/>
      <c r="K51" s="50" t="s">
        <v>13</v>
      </c>
      <c r="L51" s="50" t="s">
        <v>14</v>
      </c>
    </row>
    <row r="52" spans="1:17" s="35" customFormat="1" x14ac:dyDescent="0.35">
      <c r="A52" s="1">
        <v>45991</v>
      </c>
      <c r="B52" s="55"/>
      <c r="C52" s="55"/>
      <c r="D52" s="55"/>
      <c r="E52" s="55"/>
      <c r="F52" s="55"/>
      <c r="G52" s="56" t="s">
        <v>59</v>
      </c>
      <c r="H52" s="57">
        <f>+H31+H32-H33-H34-H35+H36-H37-H38-H39-H40-H41-H42-H43-H44-H45-H46-H47-H48-H49-H50-H51</f>
        <v>3557.7060000000101</v>
      </c>
      <c r="I52" s="55"/>
      <c r="J52" s="55"/>
      <c r="K52" s="55"/>
      <c r="L52" s="55"/>
      <c r="O52" s="38">
        <f>+H32+H36</f>
        <v>61504.003000000004</v>
      </c>
      <c r="P52" s="38">
        <f>+H33+H34+H35</f>
        <v>56536.850000000006</v>
      </c>
      <c r="Q52" s="42">
        <f>+H37+H38+H39+H40+H41+H42+H43+H44+H45+H46+H47+H48</f>
        <v>8330.75</v>
      </c>
    </row>
    <row r="53" spans="1:17" ht="15.5" customHeight="1" x14ac:dyDescent="0.35">
      <c r="A53" s="1">
        <v>45991</v>
      </c>
      <c r="I53" s="96"/>
    </row>
    <row r="54" spans="1:17" s="37" customFormat="1" x14ac:dyDescent="0.35">
      <c r="A54" s="1">
        <v>45991</v>
      </c>
      <c r="B54" s="45"/>
      <c r="C54" s="46" t="s">
        <v>24</v>
      </c>
      <c r="D54" s="45"/>
      <c r="E54" s="45"/>
      <c r="F54" s="45"/>
      <c r="G54" s="46" t="s">
        <v>33</v>
      </c>
      <c r="H54" s="47">
        <v>9546.9530847291608</v>
      </c>
      <c r="I54" s="45"/>
      <c r="J54" s="45"/>
      <c r="K54" s="45"/>
      <c r="L54" s="45"/>
      <c r="O54" s="40">
        <f>+O52+H31-P52-Q52</f>
        <v>4030.4660000000149</v>
      </c>
    </row>
    <row r="55" spans="1:17" s="37" customFormat="1" x14ac:dyDescent="0.35">
      <c r="A55" s="1">
        <v>45991</v>
      </c>
      <c r="B55" s="49" t="s">
        <v>121</v>
      </c>
      <c r="C55" s="45" t="s">
        <v>56</v>
      </c>
      <c r="D55" s="50" t="s">
        <v>19</v>
      </c>
      <c r="E55" s="51" t="s">
        <v>20</v>
      </c>
      <c r="F55" s="51" t="s">
        <v>17</v>
      </c>
      <c r="G55" s="51" t="s">
        <v>18</v>
      </c>
      <c r="H55" s="58">
        <v>67972.775537968759</v>
      </c>
      <c r="I55" s="45" t="s">
        <v>12</v>
      </c>
      <c r="J55" s="45"/>
      <c r="K55" s="50" t="s">
        <v>13</v>
      </c>
      <c r="L55" s="50" t="s">
        <v>14</v>
      </c>
    </row>
    <row r="56" spans="1:17" s="37" customFormat="1" x14ac:dyDescent="0.35">
      <c r="A56" s="1">
        <v>45991</v>
      </c>
      <c r="B56" s="49" t="s">
        <v>124</v>
      </c>
      <c r="C56" s="45" t="s">
        <v>56</v>
      </c>
      <c r="D56" s="50" t="s">
        <v>19</v>
      </c>
      <c r="E56" s="51" t="s">
        <v>20</v>
      </c>
      <c r="F56" s="51" t="s">
        <v>15</v>
      </c>
      <c r="G56" s="45" t="s">
        <v>57</v>
      </c>
      <c r="H56" s="58">
        <v>67270.614623510424</v>
      </c>
      <c r="I56" s="45" t="s">
        <v>12</v>
      </c>
      <c r="J56" s="45"/>
      <c r="K56" s="50" t="s">
        <v>13</v>
      </c>
      <c r="L56" s="50" t="s">
        <v>14</v>
      </c>
    </row>
    <row r="57" spans="1:17" s="35" customFormat="1" x14ac:dyDescent="0.35">
      <c r="A57" s="1">
        <v>45991</v>
      </c>
      <c r="B57" s="55"/>
      <c r="C57" s="55"/>
      <c r="D57" s="55"/>
      <c r="E57" s="55"/>
      <c r="F57" s="55"/>
      <c r="G57" s="56" t="s">
        <v>59</v>
      </c>
      <c r="H57" s="39">
        <f>+H54+H56-H55</f>
        <v>8844.7921702708263</v>
      </c>
      <c r="I57" s="55"/>
      <c r="J57" s="55"/>
      <c r="K57" s="55"/>
      <c r="L57" s="55"/>
    </row>
    <row r="58" spans="1:17" x14ac:dyDescent="0.35">
      <c r="A58" s="1">
        <v>45991</v>
      </c>
    </row>
    <row r="59" spans="1:17" s="35" customFormat="1" ht="14.25" customHeight="1" x14ac:dyDescent="0.35">
      <c r="A59" s="1">
        <v>45991</v>
      </c>
      <c r="B59" s="55"/>
      <c r="C59" s="46" t="s">
        <v>23</v>
      </c>
      <c r="D59" s="55"/>
      <c r="E59" s="55"/>
      <c r="F59" s="55"/>
      <c r="G59" s="56" t="s">
        <v>33</v>
      </c>
      <c r="H59" s="57">
        <v>22752.204498189985</v>
      </c>
      <c r="I59" s="55"/>
      <c r="J59" s="55"/>
      <c r="K59" s="55"/>
      <c r="L59" s="55"/>
    </row>
    <row r="60" spans="1:17" s="35" customFormat="1" x14ac:dyDescent="0.35">
      <c r="A60" s="1">
        <v>45991</v>
      </c>
      <c r="B60" s="66" t="s">
        <v>120</v>
      </c>
      <c r="C60" s="45" t="s">
        <v>58</v>
      </c>
      <c r="D60" s="61" t="s">
        <v>19</v>
      </c>
      <c r="E60" s="62" t="s">
        <v>20</v>
      </c>
      <c r="F60" s="62" t="s">
        <v>15</v>
      </c>
      <c r="G60" s="62" t="s">
        <v>16</v>
      </c>
      <c r="H60" s="59">
        <v>54631.437498079998</v>
      </c>
      <c r="I60" s="55" t="s">
        <v>12</v>
      </c>
      <c r="J60" s="55"/>
      <c r="K60" s="61" t="s">
        <v>13</v>
      </c>
      <c r="L60" s="61" t="s">
        <v>14</v>
      </c>
    </row>
    <row r="61" spans="1:17" s="35" customFormat="1" x14ac:dyDescent="0.35">
      <c r="A61" s="1">
        <v>45991</v>
      </c>
      <c r="B61" s="66" t="s">
        <v>122</v>
      </c>
      <c r="C61" s="45" t="s">
        <v>58</v>
      </c>
      <c r="D61" s="61" t="s">
        <v>19</v>
      </c>
      <c r="E61" s="62" t="s">
        <v>20</v>
      </c>
      <c r="F61" s="62" t="s">
        <v>17</v>
      </c>
      <c r="G61" s="62" t="s">
        <v>31</v>
      </c>
      <c r="H61" s="59">
        <v>28781.96401082</v>
      </c>
      <c r="I61" s="55" t="s">
        <v>12</v>
      </c>
      <c r="J61" s="55"/>
      <c r="K61" s="61" t="s">
        <v>13</v>
      </c>
      <c r="L61" s="61" t="s">
        <v>14</v>
      </c>
    </row>
    <row r="62" spans="1:17" s="35" customFormat="1" x14ac:dyDescent="0.35">
      <c r="A62" s="1">
        <v>45991</v>
      </c>
      <c r="B62" s="66" t="s">
        <v>121</v>
      </c>
      <c r="C62" s="45" t="s">
        <v>58</v>
      </c>
      <c r="D62" s="61" t="s">
        <v>19</v>
      </c>
      <c r="E62" s="62" t="s">
        <v>20</v>
      </c>
      <c r="F62" s="62" t="s">
        <v>17</v>
      </c>
      <c r="G62" s="62" t="s">
        <v>18</v>
      </c>
      <c r="H62" s="59">
        <v>15979.94001561</v>
      </c>
      <c r="I62" s="55" t="s">
        <v>12</v>
      </c>
      <c r="J62" s="55"/>
      <c r="K62" s="61" t="s">
        <v>13</v>
      </c>
      <c r="L62" s="61" t="s">
        <v>14</v>
      </c>
    </row>
    <row r="63" spans="1:17" s="35" customFormat="1" x14ac:dyDescent="0.35">
      <c r="A63" s="1">
        <v>45991</v>
      </c>
      <c r="B63" s="66" t="s">
        <v>121</v>
      </c>
      <c r="C63" s="45" t="s">
        <v>58</v>
      </c>
      <c r="D63" s="61" t="s">
        <v>19</v>
      </c>
      <c r="E63" s="62" t="s">
        <v>20</v>
      </c>
      <c r="F63" s="62" t="s">
        <v>17</v>
      </c>
      <c r="G63" s="62" t="s">
        <v>18</v>
      </c>
      <c r="H63" s="59">
        <v>3271.68</v>
      </c>
      <c r="I63" s="55" t="s">
        <v>12</v>
      </c>
      <c r="J63" s="55"/>
      <c r="K63" s="61" t="s">
        <v>13</v>
      </c>
      <c r="L63" s="61" t="s">
        <v>14</v>
      </c>
    </row>
    <row r="64" spans="1:17" s="35" customFormat="1" x14ac:dyDescent="0.35">
      <c r="A64" s="1">
        <v>45991</v>
      </c>
      <c r="B64" s="55"/>
      <c r="C64" s="55"/>
      <c r="D64" s="55"/>
      <c r="E64" s="55"/>
      <c r="F64" s="55"/>
      <c r="G64" s="56" t="s">
        <v>59</v>
      </c>
      <c r="H64" s="39">
        <f>+H59+H60-H61-H62-H63</f>
        <v>29350.057969839989</v>
      </c>
      <c r="I64" s="55">
        <v>29849.107742820001</v>
      </c>
      <c r="J64" s="67">
        <f>+H64-I64</f>
        <v>-499.04977298001177</v>
      </c>
      <c r="K64" s="55"/>
      <c r="L64" s="55"/>
    </row>
    <row r="65" spans="1:12" x14ac:dyDescent="0.35">
      <c r="A65" s="1">
        <v>45991</v>
      </c>
    </row>
    <row r="66" spans="1:12" s="37" customFormat="1" x14ac:dyDescent="0.35">
      <c r="A66" s="1">
        <v>45991</v>
      </c>
      <c r="B66" s="45"/>
      <c r="C66" s="46" t="s">
        <v>25</v>
      </c>
      <c r="D66" s="45"/>
      <c r="E66" s="45"/>
      <c r="F66" s="45"/>
      <c r="G66" s="46" t="s">
        <v>33</v>
      </c>
      <c r="H66" s="46">
        <v>12509.4921875</v>
      </c>
      <c r="I66" s="45"/>
      <c r="J66" s="45"/>
      <c r="K66" s="45"/>
      <c r="L66" s="45"/>
    </row>
    <row r="67" spans="1:12" s="37" customFormat="1" x14ac:dyDescent="0.35">
      <c r="A67" s="1">
        <v>45991</v>
      </c>
      <c r="B67" s="49" t="s">
        <v>121</v>
      </c>
      <c r="C67" s="45" t="s">
        <v>60</v>
      </c>
      <c r="D67" s="50" t="s">
        <v>19</v>
      </c>
      <c r="E67" s="51" t="s">
        <v>20</v>
      </c>
      <c r="F67" s="51" t="s">
        <v>17</v>
      </c>
      <c r="G67" s="51" t="s">
        <v>18</v>
      </c>
      <c r="H67" s="52">
        <v>77809.51941609956</v>
      </c>
      <c r="I67" s="45" t="s">
        <v>12</v>
      </c>
      <c r="J67" s="45"/>
      <c r="K67" s="50" t="s">
        <v>13</v>
      </c>
      <c r="L67" s="50" t="s">
        <v>14</v>
      </c>
    </row>
    <row r="68" spans="1:12" s="37" customFormat="1" x14ac:dyDescent="0.35">
      <c r="A68" s="1">
        <v>45991</v>
      </c>
      <c r="B68" s="49" t="s">
        <v>124</v>
      </c>
      <c r="C68" s="45" t="s">
        <v>60</v>
      </c>
      <c r="D68" s="50" t="s">
        <v>19</v>
      </c>
      <c r="E68" s="51" t="s">
        <v>20</v>
      </c>
      <c r="F68" s="51" t="s">
        <v>15</v>
      </c>
      <c r="G68" s="45" t="s">
        <v>57</v>
      </c>
      <c r="H68" s="58">
        <v>82757.27</v>
      </c>
      <c r="I68" s="45" t="s">
        <v>12</v>
      </c>
      <c r="J68" s="45"/>
      <c r="K68" s="50" t="s">
        <v>13</v>
      </c>
      <c r="L68" s="50" t="s">
        <v>14</v>
      </c>
    </row>
    <row r="69" spans="1:12" s="37" customFormat="1" x14ac:dyDescent="0.35">
      <c r="A69" s="1">
        <v>45991</v>
      </c>
      <c r="B69" s="49" t="s">
        <v>125</v>
      </c>
      <c r="C69" s="45" t="s">
        <v>60</v>
      </c>
      <c r="D69" s="50" t="s">
        <v>19</v>
      </c>
      <c r="E69" s="51" t="s">
        <v>20</v>
      </c>
      <c r="F69" s="51" t="s">
        <v>15</v>
      </c>
      <c r="G69" s="51" t="s">
        <v>72</v>
      </c>
      <c r="H69" s="54">
        <v>32.598564453088301</v>
      </c>
      <c r="I69" s="45" t="s">
        <v>12</v>
      </c>
      <c r="J69" s="45"/>
      <c r="K69" s="50" t="s">
        <v>13</v>
      </c>
      <c r="L69" s="50" t="s">
        <v>14</v>
      </c>
    </row>
    <row r="70" spans="1:12" s="37" customFormat="1" x14ac:dyDescent="0.35">
      <c r="A70" s="1">
        <v>45991</v>
      </c>
      <c r="B70" s="49" t="s">
        <v>123</v>
      </c>
      <c r="C70" s="45" t="s">
        <v>60</v>
      </c>
      <c r="D70" s="50" t="s">
        <v>19</v>
      </c>
      <c r="E70" s="51" t="s">
        <v>20</v>
      </c>
      <c r="F70" s="51" t="s">
        <v>17</v>
      </c>
      <c r="G70" s="51" t="s">
        <v>93</v>
      </c>
      <c r="H70" s="54"/>
      <c r="I70" s="45" t="s">
        <v>12</v>
      </c>
      <c r="J70" s="45"/>
      <c r="K70" s="50" t="s">
        <v>13</v>
      </c>
      <c r="L70" s="50" t="s">
        <v>14</v>
      </c>
    </row>
    <row r="71" spans="1:12" s="37" customFormat="1" x14ac:dyDescent="0.35">
      <c r="A71" s="1">
        <v>45991</v>
      </c>
      <c r="B71" s="45"/>
      <c r="C71" s="45"/>
      <c r="D71" s="45"/>
      <c r="E71" s="45"/>
      <c r="F71" s="45"/>
      <c r="G71" s="46" t="s">
        <v>59</v>
      </c>
      <c r="H71" s="60">
        <f>+H66+H68-H67+H69-H70</f>
        <v>17489.841335853533</v>
      </c>
      <c r="I71" s="45">
        <v>12509.4921875</v>
      </c>
      <c r="J71" s="67">
        <f>+H71-I71</f>
        <v>4980.3491483535327</v>
      </c>
      <c r="K71" s="45"/>
      <c r="L71" s="45"/>
    </row>
    <row r="72" spans="1:12" x14ac:dyDescent="0.35">
      <c r="A72" s="1">
        <v>45991</v>
      </c>
    </row>
    <row r="73" spans="1:12" s="37" customFormat="1" x14ac:dyDescent="0.35">
      <c r="A73" s="1">
        <v>45991</v>
      </c>
      <c r="B73" s="45"/>
      <c r="C73" s="46" t="s">
        <v>61</v>
      </c>
      <c r="D73" s="45"/>
      <c r="E73" s="45"/>
      <c r="F73" s="45"/>
      <c r="G73" s="46" t="s">
        <v>33</v>
      </c>
      <c r="H73" s="68">
        <v>9091.1450534728519</v>
      </c>
      <c r="I73" s="45"/>
      <c r="J73" s="45"/>
      <c r="K73" s="45"/>
      <c r="L73" s="45"/>
    </row>
    <row r="74" spans="1:12" s="37" customFormat="1" x14ac:dyDescent="0.35">
      <c r="A74" s="1">
        <v>45991</v>
      </c>
      <c r="B74" s="49" t="s">
        <v>120</v>
      </c>
      <c r="C74" s="45" t="s">
        <v>62</v>
      </c>
      <c r="D74" s="50" t="s">
        <v>19</v>
      </c>
      <c r="E74" s="51" t="s">
        <v>20</v>
      </c>
      <c r="F74" s="51" t="s">
        <v>15</v>
      </c>
      <c r="G74" s="51" t="s">
        <v>16</v>
      </c>
      <c r="H74" s="52">
        <v>15462.660440600894</v>
      </c>
      <c r="I74" s="45" t="s">
        <v>12</v>
      </c>
      <c r="J74" s="45"/>
      <c r="K74" s="50" t="s">
        <v>13</v>
      </c>
      <c r="L74" s="50" t="s">
        <v>14</v>
      </c>
    </row>
    <row r="75" spans="1:12" s="37" customFormat="1" x14ac:dyDescent="0.35">
      <c r="A75" s="1">
        <v>45991</v>
      </c>
      <c r="B75" s="49" t="s">
        <v>122</v>
      </c>
      <c r="C75" s="45" t="s">
        <v>62</v>
      </c>
      <c r="D75" s="50" t="s">
        <v>19</v>
      </c>
      <c r="E75" s="51" t="s">
        <v>20</v>
      </c>
      <c r="F75" s="51" t="s">
        <v>17</v>
      </c>
      <c r="G75" s="51" t="s">
        <v>31</v>
      </c>
      <c r="H75" s="52">
        <v>935.15</v>
      </c>
      <c r="I75" s="45" t="s">
        <v>12</v>
      </c>
      <c r="J75" s="45"/>
      <c r="K75" s="50" t="s">
        <v>13</v>
      </c>
      <c r="L75" s="50" t="s">
        <v>14</v>
      </c>
    </row>
    <row r="76" spans="1:12" s="37" customFormat="1" x14ac:dyDescent="0.35">
      <c r="A76" s="1">
        <v>45991</v>
      </c>
      <c r="B76" s="49" t="s">
        <v>122</v>
      </c>
      <c r="C76" s="45" t="s">
        <v>62</v>
      </c>
      <c r="D76" s="50" t="s">
        <v>19</v>
      </c>
      <c r="E76" s="51" t="s">
        <v>20</v>
      </c>
      <c r="F76" s="51" t="s">
        <v>17</v>
      </c>
      <c r="G76" s="51" t="s">
        <v>31</v>
      </c>
      <c r="H76" s="52">
        <v>6425.420000000001</v>
      </c>
      <c r="I76" s="45" t="s">
        <v>12</v>
      </c>
      <c r="J76" s="45"/>
      <c r="K76" s="50" t="s">
        <v>13</v>
      </c>
      <c r="L76" s="50" t="s">
        <v>14</v>
      </c>
    </row>
    <row r="77" spans="1:12" s="37" customFormat="1" x14ac:dyDescent="0.35">
      <c r="A77" s="1">
        <v>45991</v>
      </c>
      <c r="B77" s="49" t="s">
        <v>122</v>
      </c>
      <c r="C77" s="45" t="s">
        <v>62</v>
      </c>
      <c r="D77" s="50" t="s">
        <v>19</v>
      </c>
      <c r="E77" s="51" t="s">
        <v>20</v>
      </c>
      <c r="F77" s="51" t="s">
        <v>17</v>
      </c>
      <c r="G77" s="51" t="s">
        <v>31</v>
      </c>
      <c r="H77" s="52">
        <v>8679.42</v>
      </c>
      <c r="I77" s="45" t="s">
        <v>12</v>
      </c>
      <c r="J77" s="45"/>
      <c r="K77" s="50" t="s">
        <v>13</v>
      </c>
      <c r="L77" s="50" t="s">
        <v>14</v>
      </c>
    </row>
    <row r="78" spans="1:12" s="37" customFormat="1" x14ac:dyDescent="0.35">
      <c r="A78" s="1">
        <v>45991</v>
      </c>
      <c r="B78" s="45"/>
      <c r="C78" s="45"/>
      <c r="D78" s="45"/>
      <c r="E78" s="45"/>
      <c r="F78" s="45"/>
      <c r="G78" s="46" t="s">
        <v>59</v>
      </c>
      <c r="H78" s="60">
        <f>+H73+H74-H77-H75-H76</f>
        <v>8513.815494073744</v>
      </c>
      <c r="I78" s="45"/>
      <c r="J78" s="45"/>
      <c r="K78" s="45"/>
      <c r="L78" s="45"/>
    </row>
    <row r="79" spans="1:12" x14ac:dyDescent="0.35">
      <c r="A79" s="1">
        <v>45991</v>
      </c>
    </row>
    <row r="80" spans="1:12" s="37" customFormat="1" x14ac:dyDescent="0.35">
      <c r="A80" s="1">
        <v>45991</v>
      </c>
      <c r="C80" s="36" t="s">
        <v>65</v>
      </c>
      <c r="G80" s="36" t="s">
        <v>33</v>
      </c>
      <c r="H80" s="44">
        <v>2720.9549900000011</v>
      </c>
      <c r="I80" s="37">
        <v>2748.3150000000001</v>
      </c>
      <c r="J80" s="43">
        <f>+H80-I80</f>
        <v>-27.360009999998965</v>
      </c>
    </row>
    <row r="81" spans="1:14" s="37" customFormat="1" x14ac:dyDescent="0.35">
      <c r="A81" s="69">
        <v>45991</v>
      </c>
      <c r="B81" s="74" t="s">
        <v>122</v>
      </c>
      <c r="C81" s="75" t="s">
        <v>66</v>
      </c>
      <c r="D81" s="76" t="s">
        <v>19</v>
      </c>
      <c r="E81" s="77" t="s">
        <v>20</v>
      </c>
      <c r="F81" s="75" t="s">
        <v>17</v>
      </c>
      <c r="G81" s="75" t="s">
        <v>31</v>
      </c>
      <c r="H81" s="78">
        <v>304.75</v>
      </c>
      <c r="I81" s="75" t="s">
        <v>12</v>
      </c>
      <c r="J81" s="75"/>
      <c r="K81" s="76" t="s">
        <v>13</v>
      </c>
      <c r="L81" s="76" t="s">
        <v>14</v>
      </c>
    </row>
    <row r="82" spans="1:14" s="37" customFormat="1" x14ac:dyDescent="0.35">
      <c r="A82" s="69">
        <v>45991</v>
      </c>
      <c r="B82" s="74" t="s">
        <v>124</v>
      </c>
      <c r="C82" s="75" t="s">
        <v>66</v>
      </c>
      <c r="D82" s="76" t="s">
        <v>19</v>
      </c>
      <c r="E82" s="77" t="s">
        <v>20</v>
      </c>
      <c r="F82" s="75" t="s">
        <v>15</v>
      </c>
      <c r="G82" s="75" t="s">
        <v>57</v>
      </c>
      <c r="H82" s="78">
        <v>0</v>
      </c>
      <c r="I82" s="75" t="s">
        <v>12</v>
      </c>
      <c r="J82" s="75"/>
      <c r="K82" s="76" t="s">
        <v>13</v>
      </c>
      <c r="L82" s="76" t="s">
        <v>14</v>
      </c>
    </row>
    <row r="83" spans="1:14" s="37" customFormat="1" x14ac:dyDescent="0.35">
      <c r="A83" s="69">
        <v>45991</v>
      </c>
      <c r="B83" s="74" t="s">
        <v>124</v>
      </c>
      <c r="C83" s="75" t="s">
        <v>66</v>
      </c>
      <c r="D83" s="76" t="s">
        <v>19</v>
      </c>
      <c r="E83" s="77" t="s">
        <v>20</v>
      </c>
      <c r="F83" s="75" t="s">
        <v>15</v>
      </c>
      <c r="G83" s="75" t="s">
        <v>57</v>
      </c>
      <c r="H83" s="78">
        <v>0</v>
      </c>
      <c r="I83" s="75" t="s">
        <v>12</v>
      </c>
      <c r="J83" s="75"/>
      <c r="K83" s="76" t="s">
        <v>13</v>
      </c>
      <c r="L83" s="76" t="s">
        <v>14</v>
      </c>
    </row>
    <row r="84" spans="1:14" s="35" customFormat="1" x14ac:dyDescent="0.35">
      <c r="A84" s="69">
        <f>+[1]Resumen!$C$1</f>
        <v>45991</v>
      </c>
      <c r="B84" s="70">
        <v>714</v>
      </c>
      <c r="C84" s="75" t="s">
        <v>66</v>
      </c>
      <c r="D84" s="70" t="s">
        <v>19</v>
      </c>
      <c r="E84" s="70" t="s">
        <v>20</v>
      </c>
      <c r="F84" s="70" t="s">
        <v>15</v>
      </c>
      <c r="G84" s="70" t="s">
        <v>67</v>
      </c>
      <c r="H84" s="70">
        <v>1000</v>
      </c>
      <c r="I84" s="70" t="s">
        <v>12</v>
      </c>
      <c r="J84" s="70"/>
      <c r="K84" s="70" t="s">
        <v>29</v>
      </c>
      <c r="L84" s="70" t="s">
        <v>30</v>
      </c>
    </row>
    <row r="85" spans="1:14" s="35" customFormat="1" x14ac:dyDescent="0.35">
      <c r="A85" s="69">
        <f>+[1]Resumen!$C$1</f>
        <v>45991</v>
      </c>
      <c r="B85" s="70">
        <v>721</v>
      </c>
      <c r="C85" s="75" t="s">
        <v>66</v>
      </c>
      <c r="D85" s="70" t="s">
        <v>19</v>
      </c>
      <c r="E85" s="70" t="s">
        <v>20</v>
      </c>
      <c r="F85" s="70" t="s">
        <v>15</v>
      </c>
      <c r="G85" s="70" t="s">
        <v>67</v>
      </c>
      <c r="H85" s="70">
        <v>2000</v>
      </c>
      <c r="I85" s="70" t="s">
        <v>12</v>
      </c>
      <c r="J85" s="70"/>
      <c r="K85" s="70" t="s">
        <v>29</v>
      </c>
      <c r="L85" s="70" t="s">
        <v>30</v>
      </c>
    </row>
    <row r="86" spans="1:14" s="35" customFormat="1" x14ac:dyDescent="0.35">
      <c r="A86" s="69">
        <f>+[1]Resumen!$C$1</f>
        <v>45991</v>
      </c>
      <c r="B86" s="70" t="s">
        <v>118</v>
      </c>
      <c r="C86" s="75" t="s">
        <v>66</v>
      </c>
      <c r="D86" s="71" t="s">
        <v>19</v>
      </c>
      <c r="E86" s="72" t="s">
        <v>20</v>
      </c>
      <c r="F86" s="70" t="s">
        <v>17</v>
      </c>
      <c r="G86" s="70" t="s">
        <v>28</v>
      </c>
      <c r="H86" s="73">
        <v>2547.8000000000002</v>
      </c>
      <c r="I86" s="70" t="s">
        <v>12</v>
      </c>
      <c r="J86" s="70"/>
      <c r="K86" s="70" t="s">
        <v>68</v>
      </c>
      <c r="L86" s="71" t="s">
        <v>69</v>
      </c>
    </row>
    <row r="87" spans="1:14" s="35" customFormat="1" ht="13.5" customHeight="1" x14ac:dyDescent="0.35">
      <c r="A87" s="69">
        <f>+[1]Resumen!$C$1</f>
        <v>45991</v>
      </c>
      <c r="B87" s="70">
        <v>5687</v>
      </c>
      <c r="C87" s="75" t="s">
        <v>66</v>
      </c>
      <c r="D87" s="70" t="s">
        <v>19</v>
      </c>
      <c r="E87" s="70" t="s">
        <v>20</v>
      </c>
      <c r="F87" s="70" t="s">
        <v>15</v>
      </c>
      <c r="G87" s="70" t="s">
        <v>67</v>
      </c>
      <c r="H87" s="70">
        <v>449.17899999999997</v>
      </c>
      <c r="I87" s="70" t="s">
        <v>12</v>
      </c>
      <c r="J87" s="70"/>
      <c r="K87" s="70" t="s">
        <v>70</v>
      </c>
      <c r="L87" s="70" t="s">
        <v>71</v>
      </c>
    </row>
    <row r="88" spans="1:14" s="35" customFormat="1" x14ac:dyDescent="0.35">
      <c r="A88" s="69">
        <f>+[1]Resumen!$C$1</f>
        <v>45991</v>
      </c>
      <c r="B88" s="70" t="s">
        <v>119</v>
      </c>
      <c r="C88" s="75" t="s">
        <v>66</v>
      </c>
      <c r="D88" s="71" t="s">
        <v>19</v>
      </c>
      <c r="E88" s="72" t="s">
        <v>20</v>
      </c>
      <c r="F88" s="70" t="s">
        <v>17</v>
      </c>
      <c r="G88" s="70" t="s">
        <v>28</v>
      </c>
      <c r="H88" s="73">
        <v>438.95</v>
      </c>
      <c r="I88" s="70" t="s">
        <v>12</v>
      </c>
      <c r="J88" s="70"/>
      <c r="K88" s="70" t="s">
        <v>70</v>
      </c>
      <c r="L88" s="71" t="s">
        <v>71</v>
      </c>
    </row>
    <row r="89" spans="1:14" s="37" customFormat="1" x14ac:dyDescent="0.35">
      <c r="A89" s="69">
        <v>45991</v>
      </c>
      <c r="B89" s="74" t="s">
        <v>123</v>
      </c>
      <c r="C89" s="75" t="s">
        <v>66</v>
      </c>
      <c r="D89" s="76" t="s">
        <v>19</v>
      </c>
      <c r="E89" s="77" t="s">
        <v>20</v>
      </c>
      <c r="F89" s="77" t="s">
        <v>17</v>
      </c>
      <c r="G89" s="77" t="s">
        <v>93</v>
      </c>
      <c r="H89" s="78"/>
      <c r="I89" s="75" t="s">
        <v>12</v>
      </c>
      <c r="J89" s="75"/>
      <c r="K89" s="76" t="s">
        <v>13</v>
      </c>
      <c r="L89" s="76" t="s">
        <v>14</v>
      </c>
      <c r="N89" s="40">
        <f>+H80-H89</f>
        <v>2720.9549900000011</v>
      </c>
    </row>
    <row r="90" spans="1:14" s="37" customFormat="1" x14ac:dyDescent="0.35">
      <c r="A90" s="69">
        <v>45991</v>
      </c>
      <c r="B90" s="74" t="s">
        <v>125</v>
      </c>
      <c r="C90" s="75" t="s">
        <v>66</v>
      </c>
      <c r="D90" s="76" t="s">
        <v>19</v>
      </c>
      <c r="E90" s="77" t="s">
        <v>20</v>
      </c>
      <c r="F90" s="77" t="s">
        <v>15</v>
      </c>
      <c r="G90" s="77" t="s">
        <v>72</v>
      </c>
      <c r="H90" s="78">
        <v>27.360009999999001</v>
      </c>
      <c r="I90" s="75" t="s">
        <v>12</v>
      </c>
      <c r="J90" s="75"/>
      <c r="K90" s="76" t="s">
        <v>13</v>
      </c>
      <c r="L90" s="76" t="s">
        <v>14</v>
      </c>
    </row>
    <row r="91" spans="1:14" s="37" customFormat="1" x14ac:dyDescent="0.35">
      <c r="A91" s="69">
        <v>45991</v>
      </c>
      <c r="B91" s="74"/>
      <c r="C91" s="75"/>
      <c r="D91" s="76"/>
      <c r="E91" s="77"/>
      <c r="F91" s="77"/>
      <c r="G91" s="79" t="s">
        <v>59</v>
      </c>
      <c r="H91" s="80">
        <f>+H80-H81+H82+H83+H84+H85-H86+H87-H88-H89+H90</f>
        <v>2905.9940000000001</v>
      </c>
      <c r="I91" s="78">
        <f>+$H$80-$H$81+$H$82+$H$84+$H$86-$H$85-$H$87-$H$88-$H$89</f>
        <v>3075.8759900000014</v>
      </c>
      <c r="J91" s="75"/>
      <c r="K91" s="76"/>
      <c r="L91" s="76"/>
    </row>
    <row r="92" spans="1:14" x14ac:dyDescent="0.35">
      <c r="A92" s="1">
        <v>45991</v>
      </c>
      <c r="B92" s="7"/>
      <c r="C92" s="17"/>
      <c r="D92" s="2"/>
      <c r="E92" s="6"/>
      <c r="F92" s="6"/>
      <c r="G92" s="6"/>
      <c r="H92" s="20"/>
      <c r="K92" s="2"/>
      <c r="L92" s="2"/>
    </row>
    <row r="93" spans="1:14" x14ac:dyDescent="0.35">
      <c r="A93" s="1">
        <v>45991</v>
      </c>
    </row>
    <row r="94" spans="1:14" x14ac:dyDescent="0.35">
      <c r="A94" s="1">
        <v>45991</v>
      </c>
      <c r="G94" s="9" t="s">
        <v>63</v>
      </c>
      <c r="H94" s="21">
        <f>+H18+H25+H60+H74</f>
        <v>136921.09793868088</v>
      </c>
      <c r="I94" s="18">
        <f>+H94-387.62</f>
        <v>136533.47793868088</v>
      </c>
      <c r="J94">
        <f>3740.323-3670.83</f>
        <v>69.492999999999938</v>
      </c>
    </row>
    <row r="95" spans="1:14" x14ac:dyDescent="0.35">
      <c r="A95" s="1">
        <v>45991</v>
      </c>
      <c r="G95" s="9" t="s">
        <v>64</v>
      </c>
      <c r="H95" s="21">
        <f>+H19+H26+H55++H67+H62+H63</f>
        <v>165794.65496967829</v>
      </c>
    </row>
    <row r="96" spans="1:14" x14ac:dyDescent="0.35">
      <c r="A96" s="1">
        <v>45991</v>
      </c>
    </row>
    <row r="97" spans="1:14" s="23" customFormat="1" x14ac:dyDescent="0.35">
      <c r="A97" s="1">
        <v>45991</v>
      </c>
      <c r="B97" s="24" t="s">
        <v>122</v>
      </c>
      <c r="C97" s="23" t="s">
        <v>62</v>
      </c>
      <c r="D97" s="25" t="s">
        <v>19</v>
      </c>
      <c r="E97" s="26" t="s">
        <v>20</v>
      </c>
      <c r="F97" s="23" t="s">
        <v>17</v>
      </c>
      <c r="G97" s="23" t="s">
        <v>31</v>
      </c>
      <c r="H97" s="29">
        <v>68544.895000000004</v>
      </c>
      <c r="I97" s="23" t="s">
        <v>12</v>
      </c>
      <c r="K97" s="25" t="s">
        <v>13</v>
      </c>
      <c r="L97" s="25" t="s">
        <v>14</v>
      </c>
      <c r="N97" s="23" t="s">
        <v>88</v>
      </c>
    </row>
    <row r="98" spans="1:14" s="23" customFormat="1" x14ac:dyDescent="0.35">
      <c r="A98" s="1">
        <v>45991</v>
      </c>
      <c r="B98" s="24" t="s">
        <v>122</v>
      </c>
      <c r="C98" s="23" t="s">
        <v>62</v>
      </c>
      <c r="D98" s="25" t="s">
        <v>19</v>
      </c>
      <c r="E98" s="26" t="s">
        <v>20</v>
      </c>
      <c r="F98" s="23" t="s">
        <v>17</v>
      </c>
      <c r="G98" s="23" t="s">
        <v>31</v>
      </c>
      <c r="H98" s="29">
        <v>14410.205</v>
      </c>
      <c r="I98" s="23" t="s">
        <v>12</v>
      </c>
      <c r="K98" s="25" t="s">
        <v>13</v>
      </c>
      <c r="L98" s="25" t="s">
        <v>14</v>
      </c>
      <c r="N98" s="23" t="s">
        <v>89</v>
      </c>
    </row>
    <row r="99" spans="1:14" s="23" customFormat="1" x14ac:dyDescent="0.35">
      <c r="A99" s="1">
        <v>45991</v>
      </c>
      <c r="B99" s="24" t="s">
        <v>122</v>
      </c>
      <c r="C99" s="23" t="s">
        <v>62</v>
      </c>
      <c r="D99" s="25" t="s">
        <v>19</v>
      </c>
      <c r="E99" s="26" t="s">
        <v>20</v>
      </c>
      <c r="F99" s="23" t="s">
        <v>17</v>
      </c>
      <c r="G99" s="23" t="s">
        <v>31</v>
      </c>
      <c r="H99" s="29">
        <v>7156.96</v>
      </c>
      <c r="I99" s="23" t="s">
        <v>12</v>
      </c>
      <c r="K99" s="25" t="s">
        <v>13</v>
      </c>
      <c r="L99" s="25" t="s">
        <v>14</v>
      </c>
      <c r="N99" s="23" t="s">
        <v>90</v>
      </c>
    </row>
    <row r="100" spans="1:14" s="23" customFormat="1" x14ac:dyDescent="0.35">
      <c r="A100" s="1">
        <v>45991</v>
      </c>
      <c r="B100" s="24" t="s">
        <v>124</v>
      </c>
      <c r="C100" s="23" t="s">
        <v>62</v>
      </c>
      <c r="D100" s="25" t="s">
        <v>19</v>
      </c>
      <c r="E100" s="26" t="s">
        <v>20</v>
      </c>
      <c r="F100" s="26" t="s">
        <v>15</v>
      </c>
      <c r="G100" s="23" t="s">
        <v>57</v>
      </c>
      <c r="H100" s="29">
        <f>+H105</f>
        <v>57519.921000000002</v>
      </c>
      <c r="I100" s="23" t="s">
        <v>12</v>
      </c>
      <c r="K100" s="25" t="s">
        <v>13</v>
      </c>
      <c r="L100" s="25" t="s">
        <v>14</v>
      </c>
      <c r="N100" s="23" t="s">
        <v>78</v>
      </c>
    </row>
    <row r="101" spans="1:14" s="12" customFormat="1" x14ac:dyDescent="0.35">
      <c r="A101" s="1">
        <v>45991</v>
      </c>
      <c r="B101" s="13"/>
      <c r="D101" s="14"/>
      <c r="E101" s="15"/>
      <c r="H101" s="16"/>
      <c r="K101" s="14"/>
      <c r="L101" s="14"/>
    </row>
    <row r="102" spans="1:14" s="12" customFormat="1" x14ac:dyDescent="0.35">
      <c r="A102" s="1">
        <v>45991</v>
      </c>
      <c r="B102" s="13"/>
      <c r="D102" s="14"/>
      <c r="E102" s="15"/>
      <c r="H102" s="16"/>
      <c r="K102" s="14"/>
      <c r="L102" s="14"/>
    </row>
    <row r="103" spans="1:14" x14ac:dyDescent="0.35">
      <c r="A103" s="1">
        <v>45991</v>
      </c>
    </row>
    <row r="104" spans="1:14" s="23" customFormat="1" ht="12.75" customHeight="1" x14ac:dyDescent="0.35">
      <c r="A104" s="1">
        <v>45991</v>
      </c>
      <c r="B104" s="24" t="s">
        <v>124</v>
      </c>
      <c r="C104" s="23" t="s">
        <v>62</v>
      </c>
      <c r="D104" s="25" t="s">
        <v>19</v>
      </c>
      <c r="E104" s="26" t="s">
        <v>20</v>
      </c>
      <c r="F104" s="26" t="s">
        <v>15</v>
      </c>
      <c r="G104" s="23" t="s">
        <v>57</v>
      </c>
      <c r="H104" s="29">
        <f>+H33</f>
        <v>55091.05</v>
      </c>
      <c r="I104" s="23" t="s">
        <v>12</v>
      </c>
      <c r="K104" s="25" t="s">
        <v>13</v>
      </c>
      <c r="L104" s="25" t="s">
        <v>14</v>
      </c>
      <c r="N104" s="23" t="s">
        <v>78</v>
      </c>
    </row>
    <row r="105" spans="1:14" s="23" customFormat="1" x14ac:dyDescent="0.35">
      <c r="A105" s="1">
        <v>45991</v>
      </c>
      <c r="B105" s="24" t="s">
        <v>122</v>
      </c>
      <c r="C105" s="23" t="s">
        <v>62</v>
      </c>
      <c r="D105" s="25" t="s">
        <v>19</v>
      </c>
      <c r="E105" s="26" t="s">
        <v>20</v>
      </c>
      <c r="F105" s="23" t="s">
        <v>17</v>
      </c>
      <c r="G105" s="23" t="s">
        <v>31</v>
      </c>
      <c r="H105" s="29">
        <v>57519.921000000002</v>
      </c>
      <c r="I105" s="23" t="s">
        <v>12</v>
      </c>
      <c r="K105" s="25" t="s">
        <v>13</v>
      </c>
      <c r="L105" s="25" t="s">
        <v>14</v>
      </c>
      <c r="N105" s="23" t="s">
        <v>78</v>
      </c>
    </row>
    <row r="106" spans="1:14" s="12" customFormat="1" x14ac:dyDescent="0.35">
      <c r="A106" s="1">
        <v>45991</v>
      </c>
      <c r="B106" s="13"/>
      <c r="D106" s="14"/>
      <c r="E106" s="15"/>
      <c r="F106" s="15"/>
      <c r="H106" s="10"/>
      <c r="K106" s="14"/>
      <c r="L106" s="14"/>
    </row>
    <row r="107" spans="1:14" s="12" customFormat="1" x14ac:dyDescent="0.35">
      <c r="A107" s="1">
        <v>45991</v>
      </c>
      <c r="B107" s="13"/>
      <c r="D107" s="14"/>
      <c r="E107" s="15"/>
      <c r="H107" s="11"/>
      <c r="K107" s="14"/>
      <c r="L107" s="14"/>
    </row>
    <row r="108" spans="1:14" s="12" customFormat="1" x14ac:dyDescent="0.35">
      <c r="A108" s="1">
        <v>45991</v>
      </c>
      <c r="B108" s="13"/>
      <c r="D108" s="14"/>
      <c r="E108" s="15"/>
      <c r="H108" s="11"/>
      <c r="K108" s="14"/>
      <c r="L108" s="14"/>
    </row>
    <row r="110" spans="1:14" x14ac:dyDescent="0.35">
      <c r="G110" s="94" t="s">
        <v>139</v>
      </c>
      <c r="H110" s="95">
        <f>+SUM(H18:H21)+SUM(H25:H28)+SUM(H32:H51)+SUM(H55:H56)+SUM(H60:H63)+SUM(H67:H70)+SUM(H74:H77)+SUM(H81:H90)+SUM(H97:H100)+SUM(H104:H105)</f>
        <v>953025.9441171427</v>
      </c>
    </row>
    <row r="111" spans="1:14" x14ac:dyDescent="0.35">
      <c r="H111" s="81"/>
    </row>
  </sheetData>
  <phoneticPr fontId="8" type="noConversion"/>
  <dataValidations count="2">
    <dataValidation operator="greaterThan" allowBlank="1" showInputMessage="1" showErrorMessage="1" sqref="H1" xr:uid="{00000000-0002-0000-0000-000000000000}"/>
    <dataValidation type="decimal" operator="greaterThan" allowBlank="1" showInputMessage="1" showErrorMessage="1" sqref="H28 H36 H51 H92 H89:H90 H69:H70" xr:uid="{1B351F4F-8D7B-4F13-AAAD-95AF040470E9}">
      <formula1>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E015-D82B-45CF-B31B-1E2093E720FD}">
  <dimension ref="A1:N86"/>
  <sheetViews>
    <sheetView topLeftCell="A40" zoomScale="80" zoomScaleNormal="80" workbookViewId="0">
      <selection activeCell="L88" sqref="L88"/>
    </sheetView>
  </sheetViews>
  <sheetFormatPr baseColWidth="10" defaultRowHeight="14.5" x14ac:dyDescent="0.35"/>
  <cols>
    <col min="2" max="2" width="12.26953125" customWidth="1"/>
    <col min="8" max="8" width="16.6328125" customWidth="1"/>
    <col min="9" max="9" width="12" bestFit="1" customWidth="1"/>
    <col min="10" max="11" width="11.453125" bestFit="1" customWidth="1"/>
  </cols>
  <sheetData>
    <row r="1" spans="1:12" x14ac:dyDescent="0.35">
      <c r="A1" s="1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</row>
    <row r="2" spans="1:12" s="45" customFormat="1" x14ac:dyDescent="0.35">
      <c r="A2" s="1">
        <v>45991</v>
      </c>
      <c r="B2" s="49" t="s">
        <v>120</v>
      </c>
      <c r="C2" s="45" t="s">
        <v>54</v>
      </c>
      <c r="D2" s="50" t="s">
        <v>19</v>
      </c>
      <c r="E2" s="51" t="s">
        <v>20</v>
      </c>
      <c r="F2" s="51" t="s">
        <v>15</v>
      </c>
      <c r="G2" s="51" t="s">
        <v>16</v>
      </c>
      <c r="H2" s="52">
        <v>66827</v>
      </c>
      <c r="I2" s="45" t="s">
        <v>12</v>
      </c>
      <c r="K2" s="50" t="s">
        <v>13</v>
      </c>
      <c r="L2" s="50" t="s">
        <v>14</v>
      </c>
    </row>
    <row r="3" spans="1:12" s="45" customFormat="1" x14ac:dyDescent="0.35">
      <c r="A3" s="1">
        <v>45991</v>
      </c>
      <c r="B3" s="49" t="s">
        <v>121</v>
      </c>
      <c r="C3" s="45" t="s">
        <v>54</v>
      </c>
      <c r="D3" s="50" t="s">
        <v>19</v>
      </c>
      <c r="E3" s="51" t="s">
        <v>20</v>
      </c>
      <c r="F3" s="51" t="s">
        <v>17</v>
      </c>
      <c r="G3" s="51" t="s">
        <v>18</v>
      </c>
      <c r="H3" s="53">
        <v>760.74</v>
      </c>
      <c r="I3" s="45" t="s">
        <v>12</v>
      </c>
      <c r="J3" s="53"/>
      <c r="K3" s="50" t="s">
        <v>13</v>
      </c>
      <c r="L3" s="50" t="s">
        <v>14</v>
      </c>
    </row>
    <row r="4" spans="1:12" s="45" customFormat="1" x14ac:dyDescent="0.35">
      <c r="A4" s="1">
        <v>45991</v>
      </c>
      <c r="B4" s="49" t="s">
        <v>122</v>
      </c>
      <c r="C4" s="45" t="s">
        <v>54</v>
      </c>
      <c r="D4" s="50" t="s">
        <v>19</v>
      </c>
      <c r="E4" s="51" t="s">
        <v>20</v>
      </c>
      <c r="F4" s="45" t="s">
        <v>17</v>
      </c>
      <c r="G4" s="45" t="s">
        <v>31</v>
      </c>
      <c r="H4" s="52">
        <v>61018.16</v>
      </c>
      <c r="I4" s="45" t="s">
        <v>12</v>
      </c>
      <c r="K4" s="50" t="s">
        <v>13</v>
      </c>
      <c r="L4" s="50" t="s">
        <v>14</v>
      </c>
    </row>
    <row r="5" spans="1:12" s="45" customFormat="1" x14ac:dyDescent="0.35">
      <c r="A5" s="1">
        <v>45991</v>
      </c>
      <c r="B5" s="49" t="s">
        <v>123</v>
      </c>
      <c r="C5" s="45" t="s">
        <v>54</v>
      </c>
      <c r="D5" s="50" t="s">
        <v>19</v>
      </c>
      <c r="E5" s="51" t="s">
        <v>20</v>
      </c>
      <c r="F5" s="51" t="s">
        <v>17</v>
      </c>
      <c r="G5" s="51" t="s">
        <v>93</v>
      </c>
      <c r="H5" s="54">
        <v>554.24</v>
      </c>
      <c r="I5" s="45" t="s">
        <v>12</v>
      </c>
      <c r="K5" s="50" t="s">
        <v>13</v>
      </c>
      <c r="L5" s="50" t="s">
        <v>14</v>
      </c>
    </row>
    <row r="6" spans="1:12" s="37" customFormat="1" x14ac:dyDescent="0.35">
      <c r="A6" s="1">
        <v>45991</v>
      </c>
      <c r="B6" s="49" t="s">
        <v>124</v>
      </c>
      <c r="C6" s="45" t="s">
        <v>55</v>
      </c>
      <c r="D6" s="50" t="s">
        <v>19</v>
      </c>
      <c r="E6" s="51" t="s">
        <v>20</v>
      </c>
      <c r="F6" s="51" t="s">
        <v>15</v>
      </c>
      <c r="G6" s="45" t="s">
        <v>57</v>
      </c>
      <c r="H6" s="58">
        <v>61018.16</v>
      </c>
      <c r="I6" s="45" t="s">
        <v>12</v>
      </c>
      <c r="J6" s="45"/>
      <c r="K6" s="50" t="s">
        <v>13</v>
      </c>
      <c r="L6" s="50" t="s">
        <v>14</v>
      </c>
    </row>
    <row r="7" spans="1:12" s="37" customFormat="1" x14ac:dyDescent="0.35">
      <c r="A7" s="1">
        <v>45991</v>
      </c>
      <c r="B7" s="49" t="s">
        <v>122</v>
      </c>
      <c r="C7" s="45" t="s">
        <v>55</v>
      </c>
      <c r="D7" s="50" t="s">
        <v>19</v>
      </c>
      <c r="E7" s="51" t="s">
        <v>20</v>
      </c>
      <c r="F7" s="45" t="s">
        <v>17</v>
      </c>
      <c r="G7" s="45" t="s">
        <v>31</v>
      </c>
      <c r="H7" s="58">
        <v>55091.05</v>
      </c>
      <c r="I7" s="45" t="s">
        <v>12</v>
      </c>
      <c r="J7" s="45"/>
      <c r="K7" s="50" t="s">
        <v>13</v>
      </c>
      <c r="L7" s="50" t="s">
        <v>14</v>
      </c>
    </row>
    <row r="8" spans="1:12" s="37" customFormat="1" x14ac:dyDescent="0.35">
      <c r="A8" s="1">
        <v>45991</v>
      </c>
      <c r="B8" s="49" t="s">
        <v>122</v>
      </c>
      <c r="C8" s="45" t="s">
        <v>55</v>
      </c>
      <c r="D8" s="50" t="s">
        <v>19</v>
      </c>
      <c r="E8" s="51" t="s">
        <v>20</v>
      </c>
      <c r="F8" s="45" t="s">
        <v>17</v>
      </c>
      <c r="G8" s="45" t="s">
        <v>31</v>
      </c>
      <c r="H8" s="58">
        <v>84.29</v>
      </c>
      <c r="I8" s="45" t="s">
        <v>12</v>
      </c>
      <c r="J8" s="45"/>
      <c r="K8" s="50" t="s">
        <v>13</v>
      </c>
      <c r="L8" s="50" t="s">
        <v>14</v>
      </c>
    </row>
    <row r="9" spans="1:12" s="37" customFormat="1" x14ac:dyDescent="0.35">
      <c r="A9" s="1">
        <v>45991</v>
      </c>
      <c r="B9" s="49" t="s">
        <v>122</v>
      </c>
      <c r="C9" s="45" t="s">
        <v>55</v>
      </c>
      <c r="D9" s="50" t="s">
        <v>19</v>
      </c>
      <c r="E9" s="51" t="s">
        <v>20</v>
      </c>
      <c r="F9" s="45" t="s">
        <v>17</v>
      </c>
      <c r="G9" s="45" t="s">
        <v>31</v>
      </c>
      <c r="H9" s="58">
        <v>1361.51</v>
      </c>
      <c r="I9" s="45" t="s">
        <v>12</v>
      </c>
      <c r="J9" s="45"/>
      <c r="K9" s="50" t="s">
        <v>13</v>
      </c>
      <c r="L9" s="50" t="s">
        <v>14</v>
      </c>
    </row>
    <row r="10" spans="1:12" s="37" customFormat="1" x14ac:dyDescent="0.35">
      <c r="A10" s="1">
        <v>45991</v>
      </c>
      <c r="B10" s="49" t="s">
        <v>125</v>
      </c>
      <c r="C10" s="45" t="s">
        <v>55</v>
      </c>
      <c r="D10" s="50" t="s">
        <v>19</v>
      </c>
      <c r="E10" s="51" t="s">
        <v>20</v>
      </c>
      <c r="F10" s="51" t="s">
        <v>15</v>
      </c>
      <c r="G10" s="51" t="s">
        <v>72</v>
      </c>
      <c r="H10" s="58">
        <v>485.84300000000098</v>
      </c>
      <c r="I10" s="45" t="s">
        <v>12</v>
      </c>
      <c r="J10" s="45"/>
      <c r="K10" s="50" t="s">
        <v>13</v>
      </c>
      <c r="L10" s="50" t="s">
        <v>14</v>
      </c>
    </row>
    <row r="11" spans="1:12" s="35" customFormat="1" x14ac:dyDescent="0.35">
      <c r="A11" s="1">
        <v>45991</v>
      </c>
      <c r="B11" s="55" t="s">
        <v>105</v>
      </c>
      <c r="C11" s="45" t="s">
        <v>55</v>
      </c>
      <c r="D11" s="61" t="s">
        <v>19</v>
      </c>
      <c r="E11" s="62" t="s">
        <v>20</v>
      </c>
      <c r="F11" s="55" t="s">
        <v>17</v>
      </c>
      <c r="G11" s="55" t="s">
        <v>28</v>
      </c>
      <c r="H11" s="53">
        <v>272.05</v>
      </c>
      <c r="I11" s="55" t="s">
        <v>12</v>
      </c>
      <c r="J11" s="55"/>
      <c r="K11" s="55" t="s">
        <v>35</v>
      </c>
      <c r="L11" s="61" t="s">
        <v>36</v>
      </c>
    </row>
    <row r="12" spans="1:12" s="35" customFormat="1" x14ac:dyDescent="0.35">
      <c r="A12" s="1">
        <v>45991</v>
      </c>
      <c r="B12" s="55" t="s">
        <v>106</v>
      </c>
      <c r="C12" s="45" t="s">
        <v>55</v>
      </c>
      <c r="D12" s="61" t="s">
        <v>19</v>
      </c>
      <c r="E12" s="62" t="s">
        <v>20</v>
      </c>
      <c r="F12" s="55" t="s">
        <v>17</v>
      </c>
      <c r="G12" s="55" t="s">
        <v>28</v>
      </c>
      <c r="H12" s="53">
        <v>634.59</v>
      </c>
      <c r="I12" s="55" t="s">
        <v>12</v>
      </c>
      <c r="J12" s="55"/>
      <c r="K12" s="55" t="s">
        <v>35</v>
      </c>
      <c r="L12" s="61" t="s">
        <v>36</v>
      </c>
    </row>
    <row r="13" spans="1:12" s="35" customFormat="1" x14ac:dyDescent="0.35">
      <c r="A13" s="1">
        <v>45991</v>
      </c>
      <c r="B13" s="55" t="s">
        <v>107</v>
      </c>
      <c r="C13" s="45" t="s">
        <v>55</v>
      </c>
      <c r="D13" s="61" t="s">
        <v>19</v>
      </c>
      <c r="E13" s="62" t="s">
        <v>20</v>
      </c>
      <c r="F13" s="55" t="s">
        <v>17</v>
      </c>
      <c r="G13" s="55" t="s">
        <v>28</v>
      </c>
      <c r="H13" s="53">
        <v>1059.73</v>
      </c>
      <c r="I13" s="55" t="s">
        <v>12</v>
      </c>
      <c r="J13" s="55"/>
      <c r="K13" s="55" t="s">
        <v>35</v>
      </c>
      <c r="L13" s="61" t="s">
        <v>36</v>
      </c>
    </row>
    <row r="14" spans="1:12" s="35" customFormat="1" x14ac:dyDescent="0.35">
      <c r="A14" s="1">
        <v>45991</v>
      </c>
      <c r="B14" s="55" t="s">
        <v>108</v>
      </c>
      <c r="C14" s="45" t="s">
        <v>55</v>
      </c>
      <c r="D14" s="61" t="s">
        <v>19</v>
      </c>
      <c r="E14" s="62" t="s">
        <v>20</v>
      </c>
      <c r="F14" s="55" t="s">
        <v>17</v>
      </c>
      <c r="G14" s="55" t="s">
        <v>28</v>
      </c>
      <c r="H14" s="53">
        <v>85.54</v>
      </c>
      <c r="I14" s="55" t="s">
        <v>12</v>
      </c>
      <c r="J14" s="55"/>
      <c r="K14" s="55" t="s">
        <v>37</v>
      </c>
      <c r="L14" s="61" t="s">
        <v>38</v>
      </c>
    </row>
    <row r="15" spans="1:12" s="35" customFormat="1" x14ac:dyDescent="0.35">
      <c r="A15" s="1">
        <v>45991</v>
      </c>
      <c r="B15" s="55" t="s">
        <v>109</v>
      </c>
      <c r="C15" s="45" t="s">
        <v>55</v>
      </c>
      <c r="D15" s="61" t="s">
        <v>19</v>
      </c>
      <c r="E15" s="62" t="s">
        <v>20</v>
      </c>
      <c r="F15" s="55" t="s">
        <v>17</v>
      </c>
      <c r="G15" s="55" t="s">
        <v>28</v>
      </c>
      <c r="H15" s="53">
        <v>1946.8</v>
      </c>
      <c r="I15" s="55" t="s">
        <v>12</v>
      </c>
      <c r="J15" s="55"/>
      <c r="K15" s="55" t="s">
        <v>39</v>
      </c>
      <c r="L15" s="61" t="s">
        <v>40</v>
      </c>
    </row>
    <row r="16" spans="1:12" s="35" customFormat="1" x14ac:dyDescent="0.35">
      <c r="A16" s="1">
        <v>45991</v>
      </c>
      <c r="B16" s="55" t="s">
        <v>110</v>
      </c>
      <c r="C16" s="45" t="s">
        <v>55</v>
      </c>
      <c r="D16" s="61" t="s">
        <v>19</v>
      </c>
      <c r="E16" s="62" t="s">
        <v>20</v>
      </c>
      <c r="F16" s="55" t="s">
        <v>17</v>
      </c>
      <c r="G16" s="55" t="s">
        <v>28</v>
      </c>
      <c r="H16" s="63">
        <v>595.42999999999995</v>
      </c>
      <c r="I16" s="55" t="s">
        <v>12</v>
      </c>
      <c r="J16" s="55"/>
      <c r="K16" s="55" t="s">
        <v>41</v>
      </c>
      <c r="L16" s="61" t="s">
        <v>42</v>
      </c>
    </row>
    <row r="17" spans="1:12" s="35" customFormat="1" x14ac:dyDescent="0.35">
      <c r="A17" s="1">
        <v>45991</v>
      </c>
      <c r="B17" s="55" t="s">
        <v>111</v>
      </c>
      <c r="C17" s="45" t="s">
        <v>55</v>
      </c>
      <c r="D17" s="61" t="s">
        <v>19</v>
      </c>
      <c r="E17" s="62" t="s">
        <v>20</v>
      </c>
      <c r="F17" s="55" t="s">
        <v>17</v>
      </c>
      <c r="G17" s="55" t="s">
        <v>28</v>
      </c>
      <c r="H17" s="53">
        <v>216.73</v>
      </c>
      <c r="I17" s="55" t="s">
        <v>12</v>
      </c>
      <c r="J17" s="55"/>
      <c r="K17" s="55" t="s">
        <v>43</v>
      </c>
      <c r="L17" s="61" t="s">
        <v>44</v>
      </c>
    </row>
    <row r="18" spans="1:12" s="35" customFormat="1" x14ac:dyDescent="0.35">
      <c r="A18" s="1">
        <v>45991</v>
      </c>
      <c r="B18" s="55" t="s">
        <v>112</v>
      </c>
      <c r="C18" s="45" t="s">
        <v>55</v>
      </c>
      <c r="D18" s="61" t="s">
        <v>19</v>
      </c>
      <c r="E18" s="62" t="s">
        <v>20</v>
      </c>
      <c r="F18" s="55" t="s">
        <v>17</v>
      </c>
      <c r="G18" s="55" t="s">
        <v>28</v>
      </c>
      <c r="H18" s="53">
        <v>27.47</v>
      </c>
      <c r="I18" s="55" t="s">
        <v>12</v>
      </c>
      <c r="J18" s="55"/>
      <c r="K18" s="55" t="s">
        <v>99</v>
      </c>
      <c r="L18" s="61" t="s">
        <v>100</v>
      </c>
    </row>
    <row r="19" spans="1:12" s="35" customFormat="1" x14ac:dyDescent="0.35">
      <c r="A19" s="1">
        <v>45991</v>
      </c>
      <c r="B19" s="55" t="s">
        <v>113</v>
      </c>
      <c r="C19" s="45" t="s">
        <v>55</v>
      </c>
      <c r="D19" s="61" t="s">
        <v>19</v>
      </c>
      <c r="E19" s="62" t="s">
        <v>20</v>
      </c>
      <c r="F19" s="55" t="s">
        <v>17</v>
      </c>
      <c r="G19" s="55" t="s">
        <v>28</v>
      </c>
      <c r="H19" s="53">
        <v>188.99</v>
      </c>
      <c r="I19" s="55" t="s">
        <v>12</v>
      </c>
      <c r="J19" s="55"/>
      <c r="K19" s="55" t="s">
        <v>45</v>
      </c>
      <c r="L19" s="61" t="s">
        <v>46</v>
      </c>
    </row>
    <row r="20" spans="1:12" s="35" customFormat="1" x14ac:dyDescent="0.35">
      <c r="A20" s="1">
        <v>45991</v>
      </c>
      <c r="B20" s="55" t="s">
        <v>114</v>
      </c>
      <c r="C20" s="45" t="s">
        <v>55</v>
      </c>
      <c r="D20" s="61" t="s">
        <v>19</v>
      </c>
      <c r="E20" s="62" t="s">
        <v>20</v>
      </c>
      <c r="F20" s="55" t="s">
        <v>17</v>
      </c>
      <c r="G20" s="55" t="s">
        <v>28</v>
      </c>
      <c r="H20" s="53">
        <v>55.93</v>
      </c>
      <c r="I20" s="55" t="s">
        <v>12</v>
      </c>
      <c r="J20" s="55"/>
      <c r="K20" s="55" t="s">
        <v>47</v>
      </c>
      <c r="L20" s="61" t="s">
        <v>48</v>
      </c>
    </row>
    <row r="21" spans="1:12" s="35" customFormat="1" x14ac:dyDescent="0.35">
      <c r="A21" s="1">
        <v>45991</v>
      </c>
      <c r="B21" s="55" t="s">
        <v>115</v>
      </c>
      <c r="C21" s="45" t="s">
        <v>55</v>
      </c>
      <c r="D21" s="61" t="s">
        <v>19</v>
      </c>
      <c r="E21" s="62" t="s">
        <v>20</v>
      </c>
      <c r="F21" s="55" t="s">
        <v>17</v>
      </c>
      <c r="G21" s="55" t="s">
        <v>28</v>
      </c>
      <c r="H21" s="53">
        <v>164.2</v>
      </c>
      <c r="I21" s="55" t="s">
        <v>12</v>
      </c>
      <c r="J21" s="55"/>
      <c r="K21" s="55" t="s">
        <v>49</v>
      </c>
      <c r="L21" s="61" t="s">
        <v>50</v>
      </c>
    </row>
    <row r="22" spans="1:12" s="35" customFormat="1" x14ac:dyDescent="0.35">
      <c r="A22" s="1">
        <v>45991</v>
      </c>
      <c r="B22" s="55" t="s">
        <v>116</v>
      </c>
      <c r="C22" s="45" t="s">
        <v>55</v>
      </c>
      <c r="D22" s="61" t="s">
        <v>19</v>
      </c>
      <c r="E22" s="62" t="s">
        <v>20</v>
      </c>
      <c r="F22" s="55" t="s">
        <v>17</v>
      </c>
      <c r="G22" s="55" t="s">
        <v>28</v>
      </c>
      <c r="H22" s="53">
        <v>3083.29</v>
      </c>
      <c r="I22" s="55" t="s">
        <v>12</v>
      </c>
      <c r="J22" s="55"/>
      <c r="K22" s="64" t="s">
        <v>51</v>
      </c>
      <c r="L22" s="61" t="s">
        <v>52</v>
      </c>
    </row>
    <row r="23" spans="1:12" s="35" customFormat="1" x14ac:dyDescent="0.35">
      <c r="A23" s="1">
        <v>45991</v>
      </c>
      <c r="B23" s="61" t="s">
        <v>117</v>
      </c>
      <c r="C23" s="45" t="s">
        <v>55</v>
      </c>
      <c r="D23" s="61" t="s">
        <v>19</v>
      </c>
      <c r="E23" s="62" t="s">
        <v>20</v>
      </c>
      <c r="F23" s="55" t="s">
        <v>17</v>
      </c>
      <c r="G23" s="55" t="s">
        <v>28</v>
      </c>
      <c r="H23" s="63">
        <v>472.76</v>
      </c>
      <c r="I23" s="55" t="s">
        <v>12</v>
      </c>
      <c r="J23" s="55"/>
      <c r="K23" s="55" t="s">
        <v>86</v>
      </c>
      <c r="L23" s="61" t="s">
        <v>87</v>
      </c>
    </row>
    <row r="24" spans="1:12" s="35" customFormat="1" x14ac:dyDescent="0.35">
      <c r="A24" s="1">
        <v>45991</v>
      </c>
      <c r="B24" s="66" t="s">
        <v>121</v>
      </c>
      <c r="C24" s="45" t="s">
        <v>56</v>
      </c>
      <c r="D24" s="61" t="s">
        <v>19</v>
      </c>
      <c r="E24" s="62" t="s">
        <v>20</v>
      </c>
      <c r="F24" s="62" t="s">
        <v>17</v>
      </c>
      <c r="G24" s="62" t="s">
        <v>18</v>
      </c>
      <c r="H24" s="59">
        <v>67972.775537968759</v>
      </c>
      <c r="I24" s="55" t="s">
        <v>12</v>
      </c>
      <c r="J24" s="55"/>
      <c r="K24" s="61" t="s">
        <v>13</v>
      </c>
      <c r="L24" s="61" t="s">
        <v>14</v>
      </c>
    </row>
    <row r="25" spans="1:12" s="35" customFormat="1" x14ac:dyDescent="0.35">
      <c r="A25" s="1">
        <v>45991</v>
      </c>
      <c r="B25" s="66" t="s">
        <v>124</v>
      </c>
      <c r="C25" s="45" t="s">
        <v>56</v>
      </c>
      <c r="D25" s="61" t="s">
        <v>19</v>
      </c>
      <c r="E25" s="62" t="s">
        <v>20</v>
      </c>
      <c r="F25" s="62" t="s">
        <v>15</v>
      </c>
      <c r="G25" s="62" t="s">
        <v>57</v>
      </c>
      <c r="H25" s="59">
        <v>67270.614623510424</v>
      </c>
      <c r="I25" s="55" t="s">
        <v>12</v>
      </c>
      <c r="J25" s="55"/>
      <c r="K25" s="61" t="s">
        <v>13</v>
      </c>
      <c r="L25" s="61" t="s">
        <v>14</v>
      </c>
    </row>
    <row r="26" spans="1:12" s="35" customFormat="1" x14ac:dyDescent="0.35">
      <c r="A26" s="1">
        <v>45991</v>
      </c>
      <c r="B26" s="66" t="s">
        <v>120</v>
      </c>
      <c r="C26" s="45" t="s">
        <v>58</v>
      </c>
      <c r="D26" s="61" t="s">
        <v>19</v>
      </c>
      <c r="E26" s="62" t="s">
        <v>20</v>
      </c>
      <c r="F26" s="62" t="s">
        <v>15</v>
      </c>
      <c r="G26" s="62" t="s">
        <v>16</v>
      </c>
      <c r="H26" s="59">
        <v>54631.437498079998</v>
      </c>
      <c r="I26" s="55" t="s">
        <v>12</v>
      </c>
      <c r="J26" s="55"/>
      <c r="K26" s="61" t="s">
        <v>13</v>
      </c>
      <c r="L26" s="61" t="s">
        <v>14</v>
      </c>
    </row>
    <row r="27" spans="1:12" s="37" customFormat="1" x14ac:dyDescent="0.35">
      <c r="A27" s="1">
        <v>45991</v>
      </c>
      <c r="B27" s="49" t="s">
        <v>122</v>
      </c>
      <c r="C27" s="45" t="s">
        <v>58</v>
      </c>
      <c r="D27" s="50" t="s">
        <v>19</v>
      </c>
      <c r="E27" s="51" t="s">
        <v>20</v>
      </c>
      <c r="F27" s="51" t="s">
        <v>17</v>
      </c>
      <c r="G27" s="51" t="s">
        <v>31</v>
      </c>
      <c r="H27" s="52">
        <v>28781.96401082</v>
      </c>
      <c r="I27" s="45" t="s">
        <v>12</v>
      </c>
      <c r="J27" s="45"/>
      <c r="K27" s="50" t="s">
        <v>13</v>
      </c>
      <c r="L27" s="50" t="s">
        <v>14</v>
      </c>
    </row>
    <row r="28" spans="1:12" s="37" customFormat="1" x14ac:dyDescent="0.35">
      <c r="A28" s="1">
        <v>45991</v>
      </c>
      <c r="B28" s="49" t="s">
        <v>121</v>
      </c>
      <c r="C28" s="45" t="s">
        <v>58</v>
      </c>
      <c r="D28" s="50" t="s">
        <v>19</v>
      </c>
      <c r="E28" s="51" t="s">
        <v>20</v>
      </c>
      <c r="F28" s="51" t="s">
        <v>17</v>
      </c>
      <c r="G28" s="45" t="s">
        <v>18</v>
      </c>
      <c r="H28" s="58">
        <v>15979.94001561</v>
      </c>
      <c r="I28" s="45" t="s">
        <v>12</v>
      </c>
      <c r="J28" s="45"/>
      <c r="K28" s="50" t="s">
        <v>13</v>
      </c>
      <c r="L28" s="50" t="s">
        <v>14</v>
      </c>
    </row>
    <row r="29" spans="1:12" s="37" customFormat="1" x14ac:dyDescent="0.35">
      <c r="A29" s="1">
        <v>45991</v>
      </c>
      <c r="B29" s="49" t="s">
        <v>121</v>
      </c>
      <c r="C29" s="45" t="s">
        <v>58</v>
      </c>
      <c r="D29" s="50" t="s">
        <v>19</v>
      </c>
      <c r="E29" s="51" t="s">
        <v>20</v>
      </c>
      <c r="F29" s="51" t="s">
        <v>17</v>
      </c>
      <c r="G29" s="51" t="s">
        <v>18</v>
      </c>
      <c r="H29" s="54">
        <v>3271.68</v>
      </c>
      <c r="I29" s="45" t="s">
        <v>12</v>
      </c>
      <c r="J29" s="45"/>
      <c r="K29" s="50" t="s">
        <v>13</v>
      </c>
      <c r="L29" s="50" t="s">
        <v>14</v>
      </c>
    </row>
    <row r="30" spans="1:12" s="37" customFormat="1" x14ac:dyDescent="0.35">
      <c r="A30" s="1">
        <v>45991</v>
      </c>
      <c r="B30" s="49" t="s">
        <v>121</v>
      </c>
      <c r="C30" s="45" t="s">
        <v>60</v>
      </c>
      <c r="D30" s="50" t="s">
        <v>19</v>
      </c>
      <c r="E30" s="51" t="s">
        <v>20</v>
      </c>
      <c r="F30" s="51" t="s">
        <v>17</v>
      </c>
      <c r="G30" s="51" t="s">
        <v>18</v>
      </c>
      <c r="H30" s="52">
        <v>77809.51941609956</v>
      </c>
      <c r="I30" s="45" t="s">
        <v>12</v>
      </c>
      <c r="J30" s="45"/>
      <c r="K30" s="50" t="s">
        <v>13</v>
      </c>
      <c r="L30" s="50" t="s">
        <v>14</v>
      </c>
    </row>
    <row r="31" spans="1:12" s="37" customFormat="1" x14ac:dyDescent="0.35">
      <c r="A31" s="1">
        <v>45991</v>
      </c>
      <c r="B31" s="49" t="s">
        <v>124</v>
      </c>
      <c r="C31" s="45" t="s">
        <v>60</v>
      </c>
      <c r="D31" s="50" t="s">
        <v>19</v>
      </c>
      <c r="E31" s="51" t="s">
        <v>20</v>
      </c>
      <c r="F31" s="51" t="s">
        <v>15</v>
      </c>
      <c r="G31" s="51" t="s">
        <v>57</v>
      </c>
      <c r="H31" s="52">
        <v>82757.27</v>
      </c>
      <c r="I31" s="45" t="s">
        <v>12</v>
      </c>
      <c r="J31" s="45"/>
      <c r="K31" s="50" t="s">
        <v>13</v>
      </c>
      <c r="L31" s="50" t="s">
        <v>14</v>
      </c>
    </row>
    <row r="32" spans="1:12" s="37" customFormat="1" x14ac:dyDescent="0.35">
      <c r="A32" s="1">
        <v>45991</v>
      </c>
      <c r="B32" s="49" t="s">
        <v>125</v>
      </c>
      <c r="C32" s="45" t="s">
        <v>60</v>
      </c>
      <c r="D32" s="50" t="s">
        <v>19</v>
      </c>
      <c r="E32" s="51" t="s">
        <v>20</v>
      </c>
      <c r="F32" s="51" t="s">
        <v>15</v>
      </c>
      <c r="G32" s="51" t="s">
        <v>72</v>
      </c>
      <c r="H32" s="52">
        <v>32.598564453088301</v>
      </c>
      <c r="I32" s="45" t="s">
        <v>12</v>
      </c>
      <c r="J32" s="45"/>
      <c r="K32" s="50" t="s">
        <v>13</v>
      </c>
      <c r="L32" s="50" t="s">
        <v>14</v>
      </c>
    </row>
    <row r="33" spans="1:14" s="37" customFormat="1" x14ac:dyDescent="0.35">
      <c r="A33" s="69">
        <v>45991</v>
      </c>
      <c r="B33" s="74" t="s">
        <v>120</v>
      </c>
      <c r="C33" s="75" t="s">
        <v>62</v>
      </c>
      <c r="D33" s="76" t="s">
        <v>19</v>
      </c>
      <c r="E33" s="77" t="s">
        <v>20</v>
      </c>
      <c r="F33" s="75" t="s">
        <v>15</v>
      </c>
      <c r="G33" s="75" t="s">
        <v>16</v>
      </c>
      <c r="H33" s="78">
        <v>15462.660440600894</v>
      </c>
      <c r="I33" s="75" t="s">
        <v>12</v>
      </c>
      <c r="J33" s="75"/>
      <c r="K33" s="76" t="s">
        <v>13</v>
      </c>
      <c r="L33" s="76" t="s">
        <v>14</v>
      </c>
    </row>
    <row r="34" spans="1:14" s="37" customFormat="1" x14ac:dyDescent="0.35">
      <c r="A34" s="69">
        <v>45991</v>
      </c>
      <c r="B34" s="74" t="s">
        <v>122</v>
      </c>
      <c r="C34" s="75" t="s">
        <v>62</v>
      </c>
      <c r="D34" s="76" t="s">
        <v>19</v>
      </c>
      <c r="E34" s="77" t="s">
        <v>20</v>
      </c>
      <c r="F34" s="75" t="s">
        <v>17</v>
      </c>
      <c r="G34" s="75" t="s">
        <v>31</v>
      </c>
      <c r="H34" s="78">
        <v>935.15</v>
      </c>
      <c r="I34" s="75" t="s">
        <v>12</v>
      </c>
      <c r="J34" s="75"/>
      <c r="K34" s="76" t="s">
        <v>13</v>
      </c>
      <c r="L34" s="76" t="s">
        <v>14</v>
      </c>
    </row>
    <row r="35" spans="1:14" s="37" customFormat="1" x14ac:dyDescent="0.35">
      <c r="A35" s="69">
        <v>45991</v>
      </c>
      <c r="B35" s="74" t="s">
        <v>122</v>
      </c>
      <c r="C35" s="75" t="s">
        <v>62</v>
      </c>
      <c r="D35" s="76" t="s">
        <v>19</v>
      </c>
      <c r="E35" s="77" t="s">
        <v>20</v>
      </c>
      <c r="F35" s="75" t="s">
        <v>17</v>
      </c>
      <c r="G35" s="75" t="s">
        <v>31</v>
      </c>
      <c r="H35" s="78">
        <v>6425.420000000001</v>
      </c>
      <c r="I35" s="75" t="s">
        <v>12</v>
      </c>
      <c r="J35" s="75"/>
      <c r="K35" s="76" t="s">
        <v>13</v>
      </c>
      <c r="L35" s="76" t="s">
        <v>14</v>
      </c>
    </row>
    <row r="36" spans="1:14" s="35" customFormat="1" x14ac:dyDescent="0.35">
      <c r="A36" s="69">
        <v>45991</v>
      </c>
      <c r="B36" s="70" t="s">
        <v>122</v>
      </c>
      <c r="C36" s="75" t="s">
        <v>62</v>
      </c>
      <c r="D36" s="70" t="s">
        <v>19</v>
      </c>
      <c r="E36" s="70" t="s">
        <v>20</v>
      </c>
      <c r="F36" s="70" t="s">
        <v>17</v>
      </c>
      <c r="G36" s="70" t="s">
        <v>31</v>
      </c>
      <c r="H36" s="70">
        <v>8679.42</v>
      </c>
      <c r="I36" s="70" t="s">
        <v>12</v>
      </c>
      <c r="J36" s="70"/>
      <c r="K36" s="70" t="s">
        <v>13</v>
      </c>
      <c r="L36" s="70" t="s">
        <v>14</v>
      </c>
    </row>
    <row r="37" spans="1:14" s="35" customFormat="1" x14ac:dyDescent="0.35">
      <c r="A37" s="69">
        <v>45991</v>
      </c>
      <c r="B37" s="70" t="s">
        <v>122</v>
      </c>
      <c r="C37" s="75" t="s">
        <v>66</v>
      </c>
      <c r="D37" s="70" t="s">
        <v>19</v>
      </c>
      <c r="E37" s="70" t="s">
        <v>20</v>
      </c>
      <c r="F37" s="70" t="s">
        <v>17</v>
      </c>
      <c r="G37" s="70" t="s">
        <v>31</v>
      </c>
      <c r="H37" s="70">
        <v>304.75</v>
      </c>
      <c r="I37" s="70" t="s">
        <v>12</v>
      </c>
      <c r="J37" s="70"/>
      <c r="K37" s="70" t="s">
        <v>13</v>
      </c>
      <c r="L37" s="70" t="s">
        <v>14</v>
      </c>
    </row>
    <row r="38" spans="1:14" s="35" customFormat="1" x14ac:dyDescent="0.35">
      <c r="A38" s="69">
        <v>45991</v>
      </c>
      <c r="B38" s="70" t="s">
        <v>124</v>
      </c>
      <c r="C38" s="75" t="s">
        <v>66</v>
      </c>
      <c r="D38" s="71" t="s">
        <v>19</v>
      </c>
      <c r="E38" s="72" t="s">
        <v>20</v>
      </c>
      <c r="F38" s="70" t="s">
        <v>15</v>
      </c>
      <c r="G38" s="70" t="s">
        <v>57</v>
      </c>
      <c r="H38" s="73">
        <v>0</v>
      </c>
      <c r="I38" s="70" t="s">
        <v>12</v>
      </c>
      <c r="J38" s="70"/>
      <c r="K38" s="70" t="s">
        <v>13</v>
      </c>
      <c r="L38" s="71" t="s">
        <v>14</v>
      </c>
    </row>
    <row r="39" spans="1:14" s="35" customFormat="1" ht="13.5" customHeight="1" x14ac:dyDescent="0.35">
      <c r="A39" s="69">
        <v>45991</v>
      </c>
      <c r="B39" s="70" t="s">
        <v>124</v>
      </c>
      <c r="C39" s="75" t="s">
        <v>66</v>
      </c>
      <c r="D39" s="70" t="s">
        <v>19</v>
      </c>
      <c r="E39" s="70" t="s">
        <v>20</v>
      </c>
      <c r="F39" s="70" t="s">
        <v>15</v>
      </c>
      <c r="G39" s="70" t="s">
        <v>57</v>
      </c>
      <c r="H39" s="70">
        <v>0</v>
      </c>
      <c r="I39" s="70" t="s">
        <v>12</v>
      </c>
      <c r="J39" s="70"/>
      <c r="K39" s="70" t="s">
        <v>13</v>
      </c>
      <c r="L39" s="70" t="s">
        <v>14</v>
      </c>
    </row>
    <row r="40" spans="1:14" s="35" customFormat="1" x14ac:dyDescent="0.35">
      <c r="A40" s="69">
        <v>45991</v>
      </c>
      <c r="B40" s="70">
        <v>714</v>
      </c>
      <c r="C40" s="75" t="s">
        <v>66</v>
      </c>
      <c r="D40" s="71" t="s">
        <v>19</v>
      </c>
      <c r="E40" s="72" t="s">
        <v>20</v>
      </c>
      <c r="F40" s="70" t="s">
        <v>15</v>
      </c>
      <c r="G40" s="70" t="s">
        <v>67</v>
      </c>
      <c r="H40" s="73">
        <v>1000</v>
      </c>
      <c r="I40" s="70" t="s">
        <v>12</v>
      </c>
      <c r="J40" s="70"/>
      <c r="K40" s="70" t="s">
        <v>29</v>
      </c>
      <c r="L40" s="71" t="s">
        <v>30</v>
      </c>
    </row>
    <row r="41" spans="1:14" s="37" customFormat="1" x14ac:dyDescent="0.35">
      <c r="A41" s="69">
        <v>45991</v>
      </c>
      <c r="B41" s="74">
        <v>721</v>
      </c>
      <c r="C41" s="75" t="s">
        <v>66</v>
      </c>
      <c r="D41" s="76" t="s">
        <v>19</v>
      </c>
      <c r="E41" s="77" t="s">
        <v>20</v>
      </c>
      <c r="F41" s="77" t="s">
        <v>15</v>
      </c>
      <c r="G41" s="77" t="s">
        <v>67</v>
      </c>
      <c r="H41" s="78">
        <v>2000</v>
      </c>
      <c r="I41" s="75" t="s">
        <v>12</v>
      </c>
      <c r="J41" s="75"/>
      <c r="K41" s="76" t="s">
        <v>29</v>
      </c>
      <c r="L41" s="76" t="s">
        <v>30</v>
      </c>
    </row>
    <row r="42" spans="1:14" x14ac:dyDescent="0.35">
      <c r="A42" s="22">
        <v>45991</v>
      </c>
      <c r="B42" s="27" t="s">
        <v>118</v>
      </c>
      <c r="C42" s="27" t="s">
        <v>66</v>
      </c>
      <c r="D42" s="30" t="s">
        <v>19</v>
      </c>
      <c r="E42" s="31" t="s">
        <v>20</v>
      </c>
      <c r="F42" s="27" t="s">
        <v>17</v>
      </c>
      <c r="G42" s="27" t="s">
        <v>28</v>
      </c>
      <c r="H42" s="32">
        <v>2547.8000000000002</v>
      </c>
      <c r="I42" s="27" t="s">
        <v>12</v>
      </c>
      <c r="J42" s="27"/>
      <c r="K42" s="27" t="s">
        <v>68</v>
      </c>
      <c r="L42" s="30" t="s">
        <v>69</v>
      </c>
    </row>
    <row r="43" spans="1:14" x14ac:dyDescent="0.35">
      <c r="A43" s="22">
        <v>45991</v>
      </c>
      <c r="B43" s="27">
        <v>5687</v>
      </c>
      <c r="C43" s="27" t="s">
        <v>66</v>
      </c>
      <c r="D43" s="30" t="s">
        <v>19</v>
      </c>
      <c r="E43" s="31" t="s">
        <v>20</v>
      </c>
      <c r="F43" s="27" t="s">
        <v>15</v>
      </c>
      <c r="G43" s="27" t="s">
        <v>67</v>
      </c>
      <c r="H43" s="32">
        <v>449.17899999999997</v>
      </c>
      <c r="I43" s="27" t="s">
        <v>12</v>
      </c>
      <c r="J43" s="27"/>
      <c r="K43" s="27" t="s">
        <v>70</v>
      </c>
      <c r="L43" s="30" t="s">
        <v>71</v>
      </c>
    </row>
    <row r="44" spans="1:14" x14ac:dyDescent="0.35">
      <c r="A44" s="22">
        <v>45991</v>
      </c>
      <c r="B44" s="27" t="s">
        <v>119</v>
      </c>
      <c r="C44" s="27" t="s">
        <v>66</v>
      </c>
      <c r="D44" s="30" t="s">
        <v>19</v>
      </c>
      <c r="E44" s="31" t="s">
        <v>20</v>
      </c>
      <c r="F44" s="27" t="s">
        <v>17</v>
      </c>
      <c r="G44" s="27" t="s">
        <v>28</v>
      </c>
      <c r="H44" s="32">
        <v>438.95</v>
      </c>
      <c r="I44" s="27" t="s">
        <v>12</v>
      </c>
      <c r="J44" s="27"/>
      <c r="K44" s="27" t="s">
        <v>70</v>
      </c>
      <c r="L44" s="30" t="s">
        <v>71</v>
      </c>
    </row>
    <row r="45" spans="1:14" s="35" customFormat="1" x14ac:dyDescent="0.35">
      <c r="A45" s="22">
        <v>45991</v>
      </c>
      <c r="B45" s="27" t="s">
        <v>125</v>
      </c>
      <c r="C45" s="27" t="s">
        <v>66</v>
      </c>
      <c r="D45" s="30" t="s">
        <v>19</v>
      </c>
      <c r="E45" s="31" t="s">
        <v>20</v>
      </c>
      <c r="F45" s="27" t="s">
        <v>15</v>
      </c>
      <c r="G45" s="27" t="s">
        <v>72</v>
      </c>
      <c r="H45" s="28">
        <v>27.360009999999001</v>
      </c>
      <c r="I45" s="27" t="s">
        <v>12</v>
      </c>
      <c r="J45" s="27"/>
      <c r="K45" s="27" t="s">
        <v>13</v>
      </c>
      <c r="L45" s="30" t="s">
        <v>14</v>
      </c>
    </row>
    <row r="46" spans="1:14" s="35" customFormat="1" x14ac:dyDescent="0.35">
      <c r="A46" s="22">
        <v>45991</v>
      </c>
      <c r="B46" s="27" t="s">
        <v>122</v>
      </c>
      <c r="C46" s="27" t="s">
        <v>62</v>
      </c>
      <c r="D46" s="30" t="s">
        <v>19</v>
      </c>
      <c r="E46" s="31" t="s">
        <v>20</v>
      </c>
      <c r="F46" s="27" t="s">
        <v>17</v>
      </c>
      <c r="G46" s="27" t="s">
        <v>31</v>
      </c>
      <c r="H46" s="28">
        <v>68544.895000000004</v>
      </c>
      <c r="I46" s="27" t="s">
        <v>12</v>
      </c>
      <c r="J46" s="27"/>
      <c r="K46" s="27" t="s">
        <v>13</v>
      </c>
      <c r="L46" s="30" t="s">
        <v>14</v>
      </c>
      <c r="N46" s="35" t="s">
        <v>88</v>
      </c>
    </row>
    <row r="47" spans="1:14" s="35" customFormat="1" x14ac:dyDescent="0.35">
      <c r="A47" s="22">
        <v>45991</v>
      </c>
      <c r="B47" s="27" t="s">
        <v>122</v>
      </c>
      <c r="C47" s="27" t="s">
        <v>62</v>
      </c>
      <c r="D47" s="30" t="s">
        <v>19</v>
      </c>
      <c r="E47" s="31" t="s">
        <v>20</v>
      </c>
      <c r="F47" s="27" t="s">
        <v>17</v>
      </c>
      <c r="G47" s="27" t="s">
        <v>31</v>
      </c>
      <c r="H47" s="32">
        <v>14410.205</v>
      </c>
      <c r="I47" s="27" t="s">
        <v>12</v>
      </c>
      <c r="J47" s="27"/>
      <c r="K47" s="33" t="s">
        <v>13</v>
      </c>
      <c r="L47" s="30" t="s">
        <v>14</v>
      </c>
      <c r="N47" s="35" t="s">
        <v>89</v>
      </c>
    </row>
    <row r="48" spans="1:14" s="35" customFormat="1" x14ac:dyDescent="0.35">
      <c r="A48" s="22">
        <v>45991</v>
      </c>
      <c r="B48" s="27" t="s">
        <v>122</v>
      </c>
      <c r="C48" s="27" t="s">
        <v>62</v>
      </c>
      <c r="D48" s="30" t="s">
        <v>19</v>
      </c>
      <c r="E48" s="31" t="s">
        <v>20</v>
      </c>
      <c r="F48" s="27" t="s">
        <v>17</v>
      </c>
      <c r="G48" s="27" t="s">
        <v>31</v>
      </c>
      <c r="H48" s="28">
        <v>7156.96</v>
      </c>
      <c r="I48" s="27" t="s">
        <v>12</v>
      </c>
      <c r="J48" s="27"/>
      <c r="K48" s="33" t="s">
        <v>13</v>
      </c>
      <c r="L48" s="30" t="s">
        <v>14</v>
      </c>
      <c r="N48" s="35" t="s">
        <v>90</v>
      </c>
    </row>
    <row r="49" spans="1:14" s="35" customFormat="1" x14ac:dyDescent="0.35">
      <c r="A49" s="22">
        <v>45991</v>
      </c>
      <c r="B49" s="27" t="s">
        <v>124</v>
      </c>
      <c r="C49" s="27" t="s">
        <v>62</v>
      </c>
      <c r="D49" s="30" t="s">
        <v>19</v>
      </c>
      <c r="E49" s="31" t="s">
        <v>20</v>
      </c>
      <c r="F49" s="27" t="s">
        <v>15</v>
      </c>
      <c r="G49" s="27" t="s">
        <v>57</v>
      </c>
      <c r="H49" s="28">
        <v>57519.921000000002</v>
      </c>
      <c r="I49" s="27" t="s">
        <v>12</v>
      </c>
      <c r="J49" s="27"/>
      <c r="K49" s="33" t="s">
        <v>13</v>
      </c>
      <c r="L49" s="30" t="s">
        <v>14</v>
      </c>
      <c r="N49" s="35" t="s">
        <v>78</v>
      </c>
    </row>
    <row r="50" spans="1:14" s="27" customFormat="1" x14ac:dyDescent="0.35">
      <c r="A50" s="22">
        <v>45991</v>
      </c>
      <c r="B50" s="27" t="s">
        <v>124</v>
      </c>
      <c r="C50" s="27" t="s">
        <v>62</v>
      </c>
      <c r="D50" s="27" t="s">
        <v>19</v>
      </c>
      <c r="E50" s="27" t="s">
        <v>20</v>
      </c>
      <c r="F50" s="27" t="s">
        <v>15</v>
      </c>
      <c r="G50" s="27" t="s">
        <v>57</v>
      </c>
      <c r="H50" s="27">
        <v>55091.05</v>
      </c>
      <c r="I50" s="27" t="s">
        <v>12</v>
      </c>
      <c r="K50" s="27" t="s">
        <v>13</v>
      </c>
      <c r="L50" s="27" t="s">
        <v>14</v>
      </c>
      <c r="N50" s="27" t="s">
        <v>78</v>
      </c>
    </row>
    <row r="51" spans="1:14" s="27" customFormat="1" x14ac:dyDescent="0.35">
      <c r="A51" s="22">
        <v>45991</v>
      </c>
      <c r="B51" s="27" t="s">
        <v>122</v>
      </c>
      <c r="C51" s="27" t="s">
        <v>62</v>
      </c>
      <c r="D51" s="27" t="s">
        <v>19</v>
      </c>
      <c r="E51" s="27" t="s">
        <v>20</v>
      </c>
      <c r="F51" s="27" t="s">
        <v>17</v>
      </c>
      <c r="G51" s="27" t="s">
        <v>31</v>
      </c>
      <c r="H51" s="27">
        <v>57519.921000000002</v>
      </c>
      <c r="I51" s="27" t="s">
        <v>12</v>
      </c>
      <c r="K51" s="27" t="s">
        <v>13</v>
      </c>
      <c r="L51" s="27" t="s">
        <v>14</v>
      </c>
      <c r="N51" s="27" t="s">
        <v>78</v>
      </c>
    </row>
    <row r="52" spans="1:14" s="35" customFormat="1" x14ac:dyDescent="0.35">
      <c r="A52" s="34">
        <v>45991</v>
      </c>
      <c r="B52" s="35" t="s">
        <v>126</v>
      </c>
      <c r="C52" s="35" t="s">
        <v>62</v>
      </c>
      <c r="D52" s="35" t="s">
        <v>19</v>
      </c>
      <c r="E52" s="35" t="s">
        <v>20</v>
      </c>
      <c r="F52" s="35" t="s">
        <v>17</v>
      </c>
      <c r="G52" s="35" t="s">
        <v>28</v>
      </c>
      <c r="H52" s="35">
        <v>6700</v>
      </c>
      <c r="I52" s="35" t="s">
        <v>12</v>
      </c>
      <c r="K52" s="35" t="s">
        <v>76</v>
      </c>
      <c r="L52" s="35" t="s">
        <v>77</v>
      </c>
    </row>
    <row r="53" spans="1:14" s="35" customFormat="1" x14ac:dyDescent="0.35">
      <c r="A53" s="34">
        <v>45991</v>
      </c>
      <c r="B53" s="35" t="s">
        <v>127</v>
      </c>
      <c r="C53" s="35" t="s">
        <v>62</v>
      </c>
      <c r="D53" s="35" t="s">
        <v>19</v>
      </c>
      <c r="E53" s="35" t="s">
        <v>20</v>
      </c>
      <c r="F53" s="35" t="s">
        <v>17</v>
      </c>
      <c r="G53" s="35" t="s">
        <v>28</v>
      </c>
      <c r="H53" s="35">
        <v>28.06</v>
      </c>
      <c r="I53" s="35" t="s">
        <v>12</v>
      </c>
      <c r="K53" s="35" t="s">
        <v>95</v>
      </c>
      <c r="L53" s="35" t="s">
        <v>96</v>
      </c>
    </row>
    <row r="54" spans="1:14" x14ac:dyDescent="0.35">
      <c r="A54" s="34">
        <v>45991</v>
      </c>
      <c r="B54" t="s">
        <v>128</v>
      </c>
      <c r="C54" t="s">
        <v>62</v>
      </c>
      <c r="D54" t="s">
        <v>19</v>
      </c>
      <c r="E54" t="s">
        <v>20</v>
      </c>
      <c r="F54" t="s">
        <v>17</v>
      </c>
      <c r="G54" t="s">
        <v>28</v>
      </c>
      <c r="H54">
        <v>2415.21</v>
      </c>
      <c r="I54" t="s">
        <v>12</v>
      </c>
      <c r="K54" t="s">
        <v>81</v>
      </c>
      <c r="L54" t="s">
        <v>82</v>
      </c>
    </row>
    <row r="55" spans="1:14" x14ac:dyDescent="0.35">
      <c r="A55" s="34">
        <v>45991</v>
      </c>
      <c r="B55" t="s">
        <v>129</v>
      </c>
      <c r="C55" t="s">
        <v>62</v>
      </c>
      <c r="D55" t="s">
        <v>19</v>
      </c>
      <c r="E55" t="s">
        <v>20</v>
      </c>
      <c r="F55" t="s">
        <v>17</v>
      </c>
      <c r="G55" t="s">
        <v>28</v>
      </c>
      <c r="H55">
        <v>3500</v>
      </c>
      <c r="I55" t="s">
        <v>12</v>
      </c>
      <c r="K55" t="s">
        <v>97</v>
      </c>
      <c r="L55" t="s">
        <v>101</v>
      </c>
    </row>
    <row r="56" spans="1:14" x14ac:dyDescent="0.35">
      <c r="A56" s="34">
        <v>45991</v>
      </c>
      <c r="B56" t="s">
        <v>130</v>
      </c>
      <c r="C56" t="s">
        <v>62</v>
      </c>
      <c r="D56" t="s">
        <v>19</v>
      </c>
      <c r="E56" t="s">
        <v>20</v>
      </c>
      <c r="F56" t="s">
        <v>17</v>
      </c>
      <c r="G56" t="s">
        <v>28</v>
      </c>
      <c r="H56">
        <v>10000</v>
      </c>
      <c r="I56" t="s">
        <v>12</v>
      </c>
      <c r="K56" t="s">
        <v>73</v>
      </c>
      <c r="L56" t="s">
        <v>74</v>
      </c>
    </row>
    <row r="57" spans="1:14" x14ac:dyDescent="0.35">
      <c r="A57" s="34">
        <v>45991</v>
      </c>
      <c r="B57">
        <v>2558</v>
      </c>
      <c r="C57" t="s">
        <v>62</v>
      </c>
      <c r="D57" t="s">
        <v>19</v>
      </c>
      <c r="E57" t="s">
        <v>20</v>
      </c>
      <c r="F57" t="s">
        <v>15</v>
      </c>
      <c r="G57" t="s">
        <v>67</v>
      </c>
      <c r="H57">
        <v>2053.36</v>
      </c>
      <c r="I57" t="s">
        <v>12</v>
      </c>
      <c r="K57" t="s">
        <v>131</v>
      </c>
      <c r="L57" t="s">
        <v>132</v>
      </c>
    </row>
    <row r="58" spans="1:14" x14ac:dyDescent="0.35">
      <c r="A58" s="34">
        <v>45991</v>
      </c>
      <c r="B58">
        <v>2559</v>
      </c>
      <c r="C58" t="s">
        <v>62</v>
      </c>
      <c r="D58" t="s">
        <v>19</v>
      </c>
      <c r="E58" t="s">
        <v>20</v>
      </c>
      <c r="F58" t="s">
        <v>15</v>
      </c>
      <c r="G58" t="s">
        <v>67</v>
      </c>
      <c r="H58">
        <v>28.06</v>
      </c>
      <c r="I58" t="s">
        <v>12</v>
      </c>
      <c r="K58" t="s">
        <v>131</v>
      </c>
      <c r="L58" t="s">
        <v>132</v>
      </c>
    </row>
    <row r="59" spans="1:14" x14ac:dyDescent="0.35">
      <c r="A59" s="34">
        <v>45991</v>
      </c>
      <c r="B59">
        <v>7343</v>
      </c>
      <c r="C59" t="s">
        <v>62</v>
      </c>
      <c r="D59" t="s">
        <v>19</v>
      </c>
      <c r="E59" t="s">
        <v>20</v>
      </c>
      <c r="F59" t="s">
        <v>15</v>
      </c>
      <c r="G59" t="s">
        <v>67</v>
      </c>
      <c r="H59">
        <v>4485.83</v>
      </c>
      <c r="I59" t="s">
        <v>12</v>
      </c>
      <c r="K59" t="s">
        <v>83</v>
      </c>
      <c r="L59" t="s">
        <v>84</v>
      </c>
    </row>
    <row r="60" spans="1:14" x14ac:dyDescent="0.35">
      <c r="A60" s="34">
        <v>45991</v>
      </c>
      <c r="B60">
        <v>7342</v>
      </c>
      <c r="C60" t="s">
        <v>62</v>
      </c>
      <c r="D60" t="s">
        <v>19</v>
      </c>
      <c r="E60" t="s">
        <v>20</v>
      </c>
      <c r="F60" t="s">
        <v>15</v>
      </c>
      <c r="G60" t="s">
        <v>67</v>
      </c>
      <c r="H60">
        <v>8006.96</v>
      </c>
      <c r="I60" t="s">
        <v>12</v>
      </c>
      <c r="K60" t="s">
        <v>83</v>
      </c>
      <c r="L60" t="s">
        <v>84</v>
      </c>
    </row>
    <row r="61" spans="1:14" x14ac:dyDescent="0.35">
      <c r="A61" s="34">
        <v>45991</v>
      </c>
      <c r="B61">
        <v>5690</v>
      </c>
      <c r="C61" t="s">
        <v>62</v>
      </c>
      <c r="D61" t="s">
        <v>19</v>
      </c>
      <c r="E61" t="s">
        <v>20</v>
      </c>
      <c r="F61" t="s">
        <v>15</v>
      </c>
      <c r="G61" t="s">
        <v>67</v>
      </c>
      <c r="H61">
        <v>12650</v>
      </c>
      <c r="I61" t="s">
        <v>12</v>
      </c>
      <c r="K61" t="s">
        <v>70</v>
      </c>
      <c r="L61" t="s">
        <v>71</v>
      </c>
    </row>
    <row r="62" spans="1:14" x14ac:dyDescent="0.35">
      <c r="A62" s="34">
        <v>45991</v>
      </c>
      <c r="B62">
        <v>5695</v>
      </c>
      <c r="C62" t="s">
        <v>62</v>
      </c>
      <c r="D62" t="s">
        <v>19</v>
      </c>
      <c r="E62" t="s">
        <v>20</v>
      </c>
      <c r="F62" t="s">
        <v>15</v>
      </c>
      <c r="G62" t="s">
        <v>67</v>
      </c>
      <c r="H62">
        <v>12200</v>
      </c>
      <c r="I62" t="s">
        <v>12</v>
      </c>
      <c r="K62" t="s">
        <v>70</v>
      </c>
      <c r="L62" t="s">
        <v>71</v>
      </c>
    </row>
    <row r="63" spans="1:14" x14ac:dyDescent="0.35">
      <c r="A63" s="34">
        <v>45991</v>
      </c>
      <c r="B63">
        <v>5705</v>
      </c>
      <c r="C63" t="s">
        <v>62</v>
      </c>
      <c r="D63" t="s">
        <v>19</v>
      </c>
      <c r="E63" t="s">
        <v>20</v>
      </c>
      <c r="F63" t="s">
        <v>15</v>
      </c>
      <c r="G63" t="s">
        <v>67</v>
      </c>
      <c r="H63">
        <v>1005.79</v>
      </c>
      <c r="I63" t="s">
        <v>12</v>
      </c>
      <c r="K63" t="s">
        <v>70</v>
      </c>
      <c r="L63" t="s">
        <v>71</v>
      </c>
    </row>
    <row r="64" spans="1:14" x14ac:dyDescent="0.35">
      <c r="A64" s="34">
        <v>45991</v>
      </c>
      <c r="B64">
        <v>709</v>
      </c>
      <c r="C64" t="s">
        <v>62</v>
      </c>
      <c r="D64" t="s">
        <v>19</v>
      </c>
      <c r="E64" t="s">
        <v>20</v>
      </c>
      <c r="F64" t="s">
        <v>15</v>
      </c>
      <c r="G64" t="s">
        <v>67</v>
      </c>
      <c r="H64">
        <v>440.44600000000003</v>
      </c>
      <c r="I64" t="s">
        <v>12</v>
      </c>
      <c r="K64" t="s">
        <v>29</v>
      </c>
      <c r="L64" t="s">
        <v>30</v>
      </c>
    </row>
    <row r="65" spans="1:12" x14ac:dyDescent="0.35">
      <c r="A65" s="34">
        <v>45991</v>
      </c>
      <c r="B65">
        <v>11359</v>
      </c>
      <c r="C65" t="s">
        <v>62</v>
      </c>
      <c r="D65" t="s">
        <v>19</v>
      </c>
      <c r="E65" t="s">
        <v>20</v>
      </c>
      <c r="F65" t="s">
        <v>15</v>
      </c>
      <c r="G65" t="s">
        <v>67</v>
      </c>
      <c r="H65">
        <v>11509.803</v>
      </c>
      <c r="I65" t="s">
        <v>12</v>
      </c>
      <c r="K65" t="s">
        <v>73</v>
      </c>
      <c r="L65" t="s">
        <v>74</v>
      </c>
    </row>
    <row r="66" spans="1:12" x14ac:dyDescent="0.35">
      <c r="A66" s="34">
        <v>45991</v>
      </c>
      <c r="B66" t="s">
        <v>133</v>
      </c>
      <c r="C66" t="s">
        <v>62</v>
      </c>
      <c r="D66" t="s">
        <v>19</v>
      </c>
      <c r="E66" t="s">
        <v>20</v>
      </c>
      <c r="F66" t="s">
        <v>15</v>
      </c>
      <c r="G66" t="s">
        <v>102</v>
      </c>
      <c r="H66">
        <v>15500</v>
      </c>
      <c r="I66" t="s">
        <v>12</v>
      </c>
      <c r="J66" t="s">
        <v>134</v>
      </c>
      <c r="K66" t="s">
        <v>103</v>
      </c>
      <c r="L66" t="s">
        <v>104</v>
      </c>
    </row>
    <row r="67" spans="1:12" x14ac:dyDescent="0.35">
      <c r="A67" s="34">
        <v>45991</v>
      </c>
      <c r="B67" t="s">
        <v>135</v>
      </c>
      <c r="C67" t="s">
        <v>62</v>
      </c>
      <c r="D67" t="s">
        <v>19</v>
      </c>
      <c r="E67" t="s">
        <v>20</v>
      </c>
      <c r="F67" t="s">
        <v>15</v>
      </c>
      <c r="G67" t="s">
        <v>102</v>
      </c>
      <c r="H67">
        <v>15800</v>
      </c>
      <c r="I67" t="s">
        <v>12</v>
      </c>
      <c r="J67" t="s">
        <v>136</v>
      </c>
      <c r="K67" t="s">
        <v>103</v>
      </c>
      <c r="L67" t="s">
        <v>104</v>
      </c>
    </row>
    <row r="68" spans="1:12" x14ac:dyDescent="0.35">
      <c r="A68" s="34">
        <v>45991</v>
      </c>
      <c r="B68">
        <v>5643</v>
      </c>
      <c r="C68" t="s">
        <v>62</v>
      </c>
      <c r="D68" t="s">
        <v>19</v>
      </c>
      <c r="E68" t="s">
        <v>20</v>
      </c>
      <c r="F68" t="s">
        <v>15</v>
      </c>
      <c r="G68" t="s">
        <v>67</v>
      </c>
      <c r="H68">
        <v>3500</v>
      </c>
      <c r="I68" t="s">
        <v>12</v>
      </c>
      <c r="K68" t="s">
        <v>97</v>
      </c>
      <c r="L68" t="s">
        <v>137</v>
      </c>
    </row>
    <row r="69" spans="1:12" x14ac:dyDescent="0.35">
      <c r="A69" s="34">
        <v>45991</v>
      </c>
      <c r="B69">
        <v>3183</v>
      </c>
      <c r="C69" t="s">
        <v>62</v>
      </c>
      <c r="D69" t="s">
        <v>19</v>
      </c>
      <c r="E69" t="s">
        <v>20</v>
      </c>
      <c r="F69" t="s">
        <v>15</v>
      </c>
      <c r="G69" t="s">
        <v>67</v>
      </c>
      <c r="H69">
        <v>9000</v>
      </c>
      <c r="I69" t="s">
        <v>12</v>
      </c>
      <c r="K69" t="s">
        <v>76</v>
      </c>
      <c r="L69" t="s">
        <v>77</v>
      </c>
    </row>
    <row r="70" spans="1:12" x14ac:dyDescent="0.35">
      <c r="A70" s="34">
        <v>45991</v>
      </c>
      <c r="B70">
        <v>434</v>
      </c>
      <c r="C70" t="s">
        <v>62</v>
      </c>
      <c r="D70" t="s">
        <v>19</v>
      </c>
      <c r="E70" t="s">
        <v>20</v>
      </c>
      <c r="F70" t="s">
        <v>15</v>
      </c>
      <c r="G70" t="s">
        <v>67</v>
      </c>
      <c r="H70">
        <v>5000</v>
      </c>
      <c r="I70" t="s">
        <v>12</v>
      </c>
      <c r="K70" t="s">
        <v>98</v>
      </c>
      <c r="L70" t="s">
        <v>138</v>
      </c>
    </row>
    <row r="71" spans="1:12" x14ac:dyDescent="0.35">
      <c r="A71" s="34">
        <v>45991</v>
      </c>
      <c r="B71">
        <v>11309</v>
      </c>
      <c r="C71" t="s">
        <v>62</v>
      </c>
      <c r="D71" t="s">
        <v>19</v>
      </c>
      <c r="E71" t="s">
        <v>20</v>
      </c>
      <c r="F71" t="s">
        <v>15</v>
      </c>
      <c r="G71" t="s">
        <v>67</v>
      </c>
      <c r="H71">
        <v>7000</v>
      </c>
      <c r="I71" t="s">
        <v>12</v>
      </c>
      <c r="K71" t="s">
        <v>73</v>
      </c>
      <c r="L71" t="s">
        <v>74</v>
      </c>
    </row>
    <row r="72" spans="1:12" x14ac:dyDescent="0.35">
      <c r="A72" s="34">
        <v>45991</v>
      </c>
      <c r="B72">
        <v>11392</v>
      </c>
      <c r="C72" t="s">
        <v>62</v>
      </c>
      <c r="D72" t="s">
        <v>19</v>
      </c>
      <c r="E72" t="s">
        <v>20</v>
      </c>
      <c r="F72" t="s">
        <v>15</v>
      </c>
      <c r="G72" t="s">
        <v>67</v>
      </c>
      <c r="H72">
        <v>10000</v>
      </c>
      <c r="I72" t="s">
        <v>12</v>
      </c>
      <c r="K72" t="s">
        <v>73</v>
      </c>
      <c r="L72" t="s">
        <v>74</v>
      </c>
    </row>
    <row r="73" spans="1:12" x14ac:dyDescent="0.35">
      <c r="A73" s="34"/>
    </row>
    <row r="74" spans="1:12" x14ac:dyDescent="0.35">
      <c r="A74" s="34"/>
    </row>
    <row r="75" spans="1:12" x14ac:dyDescent="0.35">
      <c r="A75" s="34"/>
    </row>
    <row r="76" spans="1:12" x14ac:dyDescent="0.35">
      <c r="A76" s="34"/>
    </row>
    <row r="77" spans="1:12" ht="15" thickBot="1" x14ac:dyDescent="0.4">
      <c r="A77" s="34"/>
      <c r="G77" s="83" t="s">
        <v>139</v>
      </c>
      <c r="H77" s="84">
        <f>SUM(H2:H73)</f>
        <v>1093849.4631171429</v>
      </c>
      <c r="I77" s="85"/>
      <c r="J77" s="86"/>
    </row>
    <row r="78" spans="1:12" ht="15" thickBot="1" x14ac:dyDescent="0.4">
      <c r="A78" s="34"/>
      <c r="G78" s="87"/>
      <c r="H78" s="88">
        <f>+SUM(H2:H51)</f>
        <v>953025.94411714294</v>
      </c>
      <c r="I78" s="82">
        <f>+H78-NOVIEMBRE!H110</f>
        <v>0</v>
      </c>
      <c r="J78" s="89"/>
      <c r="K78" s="89" t="b" cm="1">
        <f t="array" ref="K78">+IFERROR($I$78=0,ok)</f>
        <v>1</v>
      </c>
    </row>
    <row r="79" spans="1:12" x14ac:dyDescent="0.35">
      <c r="A79" s="34"/>
      <c r="G79" s="90"/>
      <c r="H79" s="91">
        <f>+SUM(H52:H72)</f>
        <v>140823.519</v>
      </c>
      <c r="I79" s="92">
        <f>+H77-H78</f>
        <v>140823.51899999997</v>
      </c>
      <c r="J79" s="93">
        <f>+H79-I79</f>
        <v>0</v>
      </c>
      <c r="K79" s="89" t="b" cm="1">
        <f t="array" ref="K79">+IFERROR($J$79=0,ok)</f>
        <v>1</v>
      </c>
    </row>
    <row r="80" spans="1:12" x14ac:dyDescent="0.35">
      <c r="A80" s="34"/>
    </row>
    <row r="81" spans="1:1" x14ac:dyDescent="0.35">
      <c r="A81" s="34"/>
    </row>
    <row r="82" spans="1:1" x14ac:dyDescent="0.35">
      <c r="A82" s="34"/>
    </row>
    <row r="83" spans="1:1" x14ac:dyDescent="0.35">
      <c r="A83" s="34"/>
    </row>
    <row r="84" spans="1:1" x14ac:dyDescent="0.35">
      <c r="A84" s="34"/>
    </row>
    <row r="85" spans="1:1" x14ac:dyDescent="0.35">
      <c r="A85" s="34"/>
    </row>
    <row r="86" spans="1:1" x14ac:dyDescent="0.35">
      <c r="A86" s="34"/>
    </row>
  </sheetData>
  <dataValidations count="2">
    <dataValidation operator="greaterThan" allowBlank="1" showInputMessage="1" showErrorMessage="1" sqref="H1" xr:uid="{85E3C959-E2E5-4F87-B090-DE8779B8CEB9}"/>
    <dataValidation type="decimal" operator="greaterThan" allowBlank="1" showInputMessage="1" showErrorMessage="1" sqref="H41 H5 H29 H10" xr:uid="{79C830B2-BAE2-4539-9C33-0AB76B1CE8E8}">
      <formula1>0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F0AB-2A46-4960-8FDC-FF8F47F49D37}">
  <dimension ref="B3:C4"/>
  <sheetViews>
    <sheetView workbookViewId="0">
      <selection activeCell="C5" sqref="C5"/>
    </sheetView>
  </sheetViews>
  <sheetFormatPr baseColWidth="10" defaultRowHeight="14.5" x14ac:dyDescent="0.35"/>
  <cols>
    <col min="3" max="3" width="11.7265625" bestFit="1" customWidth="1"/>
  </cols>
  <sheetData>
    <row r="3" spans="2:3" x14ac:dyDescent="0.35">
      <c r="B3" t="s">
        <v>79</v>
      </c>
      <c r="C3">
        <f>+SUM(NOVIEMBRE!H18:H21)+SUM(NOVIEMBRE!H25:H28)+SUM(NOVIEMBRE!H32:H48)+SUM(NOVIEMBRE!H55:H56)+SUM(NOVIEMBRE!H60:H63)+SUM(NOVIEMBRE!H67:H68)+SUM(NOVIEMBRE!H74:H77)+SUM(NOVIEMBRE!H81:H88)+SUM(NOVIEMBRE!H104:H105)</f>
        <v>804861.24454268964</v>
      </c>
    </row>
    <row r="4" spans="2:3" x14ac:dyDescent="0.35">
      <c r="B4" t="s">
        <v>80</v>
      </c>
      <c r="C4">
        <f>+SUM(Batch!H2:H19)</f>
        <v>252228.32300000003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56466a-d1ef-4167-b020-517c575e8737">
      <Terms xmlns="http://schemas.microsoft.com/office/infopath/2007/PartnerControls"/>
    </lcf76f155ced4ddcb4097134ff3c332f>
    <TaxCatchAll xmlns="06984305-e301-46a1-8271-e053b0e606a8" xsi:nil="true"/>
    <_dlc_DocId xmlns="06984305-e301-46a1-8271-e053b0e606a8">PVCO-1686384584-186925</_dlc_DocId>
    <_dlc_DocIdUrl xmlns="06984305-e301-46a1-8271-e053b0e606a8">
      <Url>https://codelcochile.sharepoint.com/sites/PVCO/FILES/_layouts/15/DocIdRedir.aspx?ID=PVCO-1686384584-186925</Url>
      <Description>PVCO-1686384584-186925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B81F3D5B4F2243B672088EFC3AC0D3" ma:contentTypeVersion="18" ma:contentTypeDescription="Crear nuevo documento." ma:contentTypeScope="" ma:versionID="3ab111e8c4015a5e2466637da84beac5">
  <xsd:schema xmlns:xsd="http://www.w3.org/2001/XMLSchema" xmlns:xs="http://www.w3.org/2001/XMLSchema" xmlns:p="http://schemas.microsoft.com/office/2006/metadata/properties" xmlns:ns2="06984305-e301-46a1-8271-e053b0e606a8" xmlns:ns3="0756466a-d1ef-4167-b020-517c575e8737" targetNamespace="http://schemas.microsoft.com/office/2006/metadata/properties" ma:root="true" ma:fieldsID="e5d09e73c6e89dd842d6604d4d604e2f" ns2:_="" ns3:_="">
    <xsd:import namespace="06984305-e301-46a1-8271-e053b0e606a8"/>
    <xsd:import namespace="0756466a-d1ef-4167-b020-517c575e873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4305-e301-46a1-8271-e053b0e606a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1b13fc7-c619-4600-9227-89da43f4b670}" ma:internalName="TaxCatchAll" ma:showField="CatchAllData" ma:web="06984305-e301-46a1-8271-e053b0e606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6466a-d1ef-4167-b020-517c575e8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4059dad-b601-48a5-9c2b-e21d71df0d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88022-2285-44AC-8657-DF5210B3C513}">
  <ds:schemaRefs>
    <ds:schemaRef ds:uri="http://schemas.openxmlformats.org/package/2006/metadata/core-properties"/>
    <ds:schemaRef ds:uri="06984305-e301-46a1-8271-e053b0e606a8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0756466a-d1ef-4167-b020-517c575e873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79C9690-0EE9-4B07-983D-9F0A68929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84305-e301-46a1-8271-e053b0e606a8"/>
    <ds:schemaRef ds:uri="0756466a-d1ef-4167-b020-517c575e87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3CF4C5-8695-4186-A2E8-94A135DA41E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7C2CC28-B236-4CC0-B3BE-16C7E85691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NOVIEMBRE</vt:lpstr>
      <vt:lpstr>Batch</vt:lpstr>
      <vt:lpstr>VERIFICAR</vt:lpstr>
    </vt:vector>
  </TitlesOfParts>
  <Company>CODELCO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Parra Zelada Francisco (Codelco-Casa Matriz)</dc:creator>
  <cp:lastModifiedBy>Parra Zelada Francisco (Codelco-Casa Matriz)</cp:lastModifiedBy>
  <dcterms:created xsi:type="dcterms:W3CDTF">2025-03-11T17:53:59Z</dcterms:created>
  <dcterms:modified xsi:type="dcterms:W3CDTF">2026-01-07T18:40:14Z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0x01010044B81F3D5B4F2243B672088EFC3AC0D3</vt:lpwstr>
  </property>
  <property fmtid="{D5CDD505-2E9C-101B-9397-08002B2CF9AE}" pid="3" name="_dlc_DocIdItemGuid">
    <vt:lpwstr>0caad6ef-a140-460a-90f6-928e239c1fbc</vt:lpwstr>
  </property>
  <property fmtid="{D5CDD505-2E9C-101B-9397-08002B2CF9AE}" pid="4" name="MediaServiceImageTags">
    <vt:lpwstr/>
  </property>
</Properties>
</file>